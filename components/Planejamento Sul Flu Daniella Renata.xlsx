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Plan1" sheetId="2" r:id="rId6"/>
    <sheet name="Pre Campanha" sheetId="3" r:id="rId7"/>
    <sheet name="Campanha" sheetId="4" r:id="rId8"/>
    <sheet name="Dia da Eleição" sheetId="5" r:id="rId9"/>
    <sheet name="Plan2" sheetId="6" r:id="rId10"/>
    <sheet name="Plan3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<sst xmlns="http://schemas.openxmlformats.org/spreadsheetml/2006/main" uniqueCount="134">
  <si>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</si>
  <si>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</si>
  <si>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</si>
  <si>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</si>
  <si>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Plan1</t>
  </si>
  <si>
    <t>Tabela 1</t>
  </si>
  <si>
    <t>PLANEJAMENTO CAMPANHA RESENDE - ESTIMATIVA CUSTO</t>
  </si>
  <si>
    <t>dia eleção</t>
  </si>
  <si>
    <t>MARKETING</t>
  </si>
  <si>
    <t>QUANT</t>
  </si>
  <si>
    <t>VALOR UNIT</t>
  </si>
  <si>
    <t>VALOR TOTAL</t>
  </si>
  <si>
    <t>CONTRATAÇÃO AGENCIA MARKETING/CRIAÇÃO E PRODUÇÃO</t>
  </si>
  <si>
    <t>AGENCIA MARKETING DIGITAL</t>
  </si>
  <si>
    <t>PRODUÇÃO DE VÍDEO</t>
  </si>
  <si>
    <t>BIOGRAFIA/ 4 FILMES MÊS</t>
  </si>
  <si>
    <t>MÍDIA SOCIAL</t>
  </si>
  <si>
    <t>DIGITAL INFLUENCERS</t>
  </si>
  <si>
    <t xml:space="preserve">GRUPOS PÚBLICO FACEBOOCK </t>
  </si>
  <si>
    <t>GRATUÍTO</t>
  </si>
  <si>
    <t xml:space="preserve">FILMES </t>
  </si>
  <si>
    <t xml:space="preserve">1 FILME POR SEMANA PATROCINADO </t>
  </si>
  <si>
    <t>POSTS/CARDS</t>
  </si>
  <si>
    <t xml:space="preserve">330 POSTS/UM POR DIA, COM PATROCINIO DIÁRIO PARA GRUPOS SOCIAIS, ALTERNANDO  DIFERENTES </t>
  </si>
  <si>
    <t>AQUISIÇÃO MAILINGS</t>
  </si>
  <si>
    <t>REGIÃO DAS AGULHAS NEGRAS/RESENDE/PORTO REAL/QUATIS</t>
  </si>
  <si>
    <t>DISPARO WHATZAP</t>
  </si>
  <si>
    <t>MAILING PRÓPRIO - CAPTADO NAS LIDERANÇAS E EQUIPE CAMPNHA E AQUISIÇÕES.</t>
  </si>
  <si>
    <t>CAMPANHAS</t>
  </si>
  <si>
    <t>LANÇAMENTO/ LOCAL, SOM, FOGOS E DECORAÇÃO</t>
  </si>
  <si>
    <t>APRESENTAÇÃO - BIOGRAFIA</t>
  </si>
  <si>
    <t>PROPOSTAS</t>
  </si>
  <si>
    <t>PEDINDO VOTO</t>
  </si>
  <si>
    <t>CAMAPANHA RUA</t>
  </si>
  <si>
    <t>VALOR MÊS</t>
  </si>
  <si>
    <t>COMITÊ</t>
  </si>
  <si>
    <t>EQUIPE</t>
  </si>
  <si>
    <t>LIDRANÇA -A</t>
  </si>
  <si>
    <t>EXCANDIDATOS COM MAIS DE 500 VOTOS</t>
  </si>
  <si>
    <t>LIDERANÇAS - B</t>
  </si>
  <si>
    <t>EX CANDIDATOS COM MAIS DE 300 VOTOS</t>
  </si>
  <si>
    <t>EQUIPE DE RUA/MEIO EXPEDIENTE</t>
  </si>
  <si>
    <t>ALIMENTAÇÃO EQUIPE RUA</t>
  </si>
  <si>
    <t>ALIMENTAÇÃO ADMISTRATIVO</t>
  </si>
  <si>
    <t>CARRO DE SOM /MOTORISTA</t>
  </si>
  <si>
    <t>VAN/MOTORISTA</t>
  </si>
  <si>
    <t>COMBUSTÍVEL</t>
  </si>
  <si>
    <t>460LTRS</t>
  </si>
  <si>
    <t>3  TANQUE POR SEMANA POR VEÍCULO -  (2 VANS 65 LTRS =   130) - (8 CARROS 45 LTRS = 360)</t>
  </si>
  <si>
    <t>UNIFORME</t>
  </si>
  <si>
    <t>EQUIPAMENTO SOM EVENTOS</t>
  </si>
  <si>
    <t>2 EVENTOS POR MÊS, DURANTE ELEIÇÃO UM POR SEMANA</t>
  </si>
  <si>
    <t>CARRO DE SOM/MOTORISTA</t>
  </si>
  <si>
    <t>JINGLE/COMPOSIÇÃO/PRODUÇÃO</t>
  </si>
  <si>
    <t>PROJETOR E TELÃO/Aluguel</t>
  </si>
  <si>
    <t>BANNERS E FAIXAS</t>
  </si>
  <si>
    <t xml:space="preserve">BANDEIRAS </t>
  </si>
  <si>
    <t>PAPELARIA</t>
  </si>
  <si>
    <t>JORNAL PRÉ CAMPANHA</t>
  </si>
  <si>
    <t>RESENDE/ITATIAIA/PORTO REAL/QUATIS / 1 KOMBIS COM 10 PANFLETADORES</t>
  </si>
  <si>
    <t>JORNAL CAMPANHA</t>
  </si>
  <si>
    <t>RESENDE/ITATIAIA/PORTO REAL/QUATIS / 2 KOMBIS COM 10 PANFLETADORES</t>
  </si>
  <si>
    <t>PANFLETO CAMPANHA</t>
  </si>
  <si>
    <t>PRAGUINHA</t>
  </si>
  <si>
    <t>CÉDULA</t>
  </si>
  <si>
    <t>ADESIVO CAMPANHA</t>
  </si>
  <si>
    <t>MENOS DE CEM PARA CADA MENBRO DA EQUIPE. COLOCAR EM PORTÕES</t>
  </si>
  <si>
    <t>PERFURADO CAMPANHA</t>
  </si>
  <si>
    <t>CARTAZ CAMPANHA</t>
  </si>
  <si>
    <t>PLACAS CAMPANHA</t>
  </si>
  <si>
    <t>COMUNICAÇÃO</t>
  </si>
  <si>
    <t xml:space="preserve">MATÉRIA JORNAIS DIÁRIOS E SEMANAIS </t>
  </si>
  <si>
    <t>PUBLICAÇÕES AOS SABADOS JORNAIS DIÁRISO E SEMANAIS</t>
  </si>
  <si>
    <t>VOZ DA CIDADE</t>
  </si>
  <si>
    <t>DIARIO DO VALE</t>
  </si>
  <si>
    <t>BEIRA RIO</t>
  </si>
  <si>
    <t>VITRINE</t>
  </si>
  <si>
    <t>ANÚNCIO JORNAIS</t>
  </si>
  <si>
    <t>PUBLICAÇÕES ÀS SEGUNDAS E SEXTAS</t>
  </si>
  <si>
    <t>ANÚNCIOS REDES SOCIAIS</t>
  </si>
  <si>
    <t>ANÚNCIOS VIDEOS FACEBOOCK</t>
  </si>
  <si>
    <t>ANÚNCIOS CARDS/POSTS</t>
  </si>
  <si>
    <t>ANÚNCIO FACEBOOCK STORIES</t>
  </si>
  <si>
    <t>ANÚNCIOS NATIVOS - TABULA OUTBREEN</t>
  </si>
  <si>
    <t>ANÚNCIO INSTAGRAN STORIES</t>
  </si>
  <si>
    <t>ANÚNCIO INSTAGRAN FEED</t>
  </si>
  <si>
    <t>ANÚNICO INSTAGRAN REELS</t>
  </si>
  <si>
    <t>ANÚNCIO IGTV</t>
  </si>
  <si>
    <t>GOOGLE</t>
  </si>
  <si>
    <t>EQUIPAMENTO</t>
  </si>
  <si>
    <t>ESTABILIZADOR - OSMO</t>
  </si>
  <si>
    <t>SPOT LUZ LED COM TRIPÉ</t>
  </si>
  <si>
    <t>BATERIA EXTRA</t>
  </si>
  <si>
    <t>CARREGADOR</t>
  </si>
  <si>
    <t>MICROFONE LAPELA</t>
  </si>
  <si>
    <t>CELULAR 4K</t>
  </si>
  <si>
    <t>REBATEDOR LUZ</t>
  </si>
  <si>
    <t>PAINEL FUNDO LIVE</t>
  </si>
  <si>
    <t>PAINEL CROMAQUI</t>
  </si>
  <si>
    <t>SOFTWERS E APLICATIVOS</t>
  </si>
  <si>
    <t>CRIAÇÃO SEO</t>
  </si>
  <si>
    <t>CRIAÇÃO LAND-PAGE</t>
  </si>
  <si>
    <t>EVENTOS</t>
  </si>
  <si>
    <t>ALIMENTAÇAO/CESTAS BÁSICAS</t>
  </si>
  <si>
    <t>TROFÉUS E MEDALHAS</t>
  </si>
  <si>
    <t>PRÊMIOS</t>
  </si>
  <si>
    <t>ALUGUEL BRINQUEDOS INFANTIS</t>
  </si>
  <si>
    <t>CARRINHO PIPOCA/ALGODÃO DOCE</t>
  </si>
  <si>
    <t>PAGAMENTO ARBITRAGEM TORNEIO DE BAIRRO</t>
  </si>
  <si>
    <t>DIA DA ELEIÇÃO</t>
  </si>
  <si>
    <t>VALE TRANSPORTE</t>
  </si>
  <si>
    <t>12.00</t>
  </si>
  <si>
    <t>VEÍCULOS /  8 CARROS DE SOM, 2 VANS</t>
  </si>
  <si>
    <t xml:space="preserve">COMBUSTIVÉL LITROS </t>
  </si>
  <si>
    <t>PARCERIAS COM IGREJAS</t>
  </si>
  <si>
    <t>OBRAS SOCIAIS</t>
  </si>
  <si>
    <t>MATERAIS CONSTRUÇÃO</t>
  </si>
  <si>
    <t>PATROCÍNIO</t>
  </si>
  <si>
    <t>PRESTAÇÃO DE CONTAS</t>
  </si>
  <si>
    <t>CONTADOR</t>
  </si>
  <si>
    <t>ADVOGADO</t>
  </si>
  <si>
    <t>TAXAS E TARIFAS</t>
  </si>
  <si>
    <t>PESQUISAS</t>
  </si>
  <si>
    <t>QUALITATIVA / março - junho - setembro</t>
  </si>
  <si>
    <t>QUANTATIVA janeiro</t>
  </si>
  <si>
    <t xml:space="preserve">DELGADOS - LIDERES </t>
  </si>
  <si>
    <t>CABOS ELEITORAIS</t>
  </si>
  <si>
    <t>EQUIPE RUA</t>
  </si>
  <si>
    <t>TOTAL</t>
  </si>
  <si>
    <t>Pre Campanha</t>
  </si>
  <si>
    <t>Campanha</t>
  </si>
  <si>
    <t>Dia da Eleição</t>
  </si>
  <si>
    <t>Plan2</t>
  </si>
  <si>
    <t>Plan3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</si>
</sst>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R$ &quot;* #,##0.00&quot; &quot;;&quot;-R$ &quot;* #,##0.00&quot; &quot;;&quot; R$ &quot;* &quot;-&quot;??&quot; &quot;"/>
  </numFmts>
  <fonts count="14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2"/>
      <color indexed="12"/>
      <name val="Calibri"/>
    </font>
    <font>
      <sz val="12"/>
      <color indexed="12"/>
      <name val="Calibri"/>
    </font>
    <font>
      <b val="1"/>
      <sz val="14"/>
      <color indexed="19"/>
      <name val="Calibri"/>
    </font>
    <font>
      <b val="1"/>
      <sz val="14"/>
      <color indexed="15"/>
      <name val="Calibri"/>
    </font>
    <font>
      <b val="1"/>
      <sz val="12"/>
      <color indexed="19"/>
      <name val="Calibri"/>
    </font>
    <font>
      <sz val="14"/>
      <color indexed="19"/>
      <name val="Calibri"/>
    </font>
    <font>
      <b val="1"/>
      <sz val="14"/>
      <color indexed="12"/>
      <name val="Calibri"/>
    </font>
    <font>
      <b val="1"/>
      <sz val="16"/>
      <color indexed="19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5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8"/>
      </top>
      <bottom/>
      <diagonal/>
    </border>
    <border>
      <left/>
      <right style="thin">
        <color indexed="14"/>
      </right>
      <top style="thin">
        <color indexed="8"/>
      </top>
      <bottom/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4"/>
      </bottom>
      <diagonal/>
    </border>
    <border>
      <left style="medium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medium">
        <color indexed="8"/>
      </right>
      <top style="thin">
        <color indexed="1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14"/>
      </right>
      <top/>
      <bottom/>
      <diagonal/>
    </border>
    <border>
      <left style="thin">
        <color indexed="8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medium">
        <color indexed="8"/>
      </top>
      <bottom/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medium">
        <color indexed="8"/>
      </right>
      <top style="thin">
        <color indexed="8"/>
      </top>
      <bottom style="thin">
        <color indexed="14"/>
      </bottom>
      <diagonal/>
    </border>
    <border>
      <left style="medium">
        <color indexed="8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medium">
        <color indexed="8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7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6" fillId="4" borderId="2" applyNumberFormat="0" applyFont="1" applyFill="1" applyBorder="1" applyAlignment="1" applyProtection="0">
      <alignment horizontal="center" vertical="center"/>
    </xf>
    <xf numFmtId="0" fontId="0" fillId="5" borderId="3" applyNumberFormat="0" applyFont="1" applyFill="1" applyBorder="1" applyAlignment="1" applyProtection="0">
      <alignment vertical="center"/>
    </xf>
    <xf numFmtId="0" fontId="0" fillId="5" borderId="4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7" fillId="6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horizontal="center" vertical="center"/>
    </xf>
    <xf numFmtId="0" fontId="0" fillId="5" borderId="8" applyNumberFormat="0" applyFont="1" applyFill="1" applyBorder="1" applyAlignment="1" applyProtection="0">
      <alignment vertical="bottom"/>
    </xf>
    <xf numFmtId="49" fontId="6" fillId="7" borderId="9" applyNumberFormat="1" applyFont="1" applyFill="1" applyBorder="1" applyAlignment="1" applyProtection="0">
      <alignment horizontal="center" vertical="center"/>
    </xf>
    <xf numFmtId="49" fontId="6" fillId="7" borderId="10" applyNumberFormat="1" applyFont="1" applyFill="1" applyBorder="1" applyAlignment="1" applyProtection="0">
      <alignment horizontal="center" vertical="center"/>
    </xf>
    <xf numFmtId="17" fontId="6" fillId="6" borderId="10" applyNumberFormat="1" applyFont="1" applyFill="1" applyBorder="1" applyAlignment="1" applyProtection="0">
      <alignment horizontal="center" vertical="center"/>
    </xf>
    <xf numFmtId="49" fontId="0" fillId="5" borderId="11" applyNumberFormat="1" applyFont="1" applyFill="1" applyBorder="1" applyAlignment="1" applyProtection="0">
      <alignment vertical="bottom"/>
    </xf>
    <xf numFmtId="0" fontId="0" fillId="8" borderId="11" applyNumberFormat="1" applyFont="1" applyFill="1" applyBorder="1" applyAlignment="1" applyProtection="0">
      <alignment vertical="center"/>
    </xf>
    <xf numFmtId="59" fontId="0" fillId="8" borderId="11" applyNumberFormat="1" applyFont="1" applyFill="1" applyBorder="1" applyAlignment="1" applyProtection="0">
      <alignment vertical="center"/>
    </xf>
    <xf numFmtId="59" fontId="0" fillId="9" borderId="11" applyNumberFormat="1" applyFont="1" applyFill="1" applyBorder="1" applyAlignment="1" applyProtection="0">
      <alignment vertical="center"/>
    </xf>
    <xf numFmtId="3" fontId="0" fillId="5" borderId="11" applyNumberFormat="1" applyFont="1" applyFill="1" applyBorder="1" applyAlignment="1" applyProtection="0">
      <alignment vertical="center"/>
    </xf>
    <xf numFmtId="0" fontId="0" fillId="5" borderId="12" applyNumberFormat="0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vertical="center"/>
    </xf>
    <xf numFmtId="59" fontId="0" fillId="9" borderId="14" applyNumberFormat="1" applyFont="1" applyFill="1" applyBorder="1" applyAlignment="1" applyProtection="0">
      <alignment vertical="center"/>
    </xf>
    <xf numFmtId="0" fontId="0" fillId="10" borderId="11" applyNumberFormat="1" applyFont="1" applyFill="1" applyBorder="1" applyAlignment="1" applyProtection="0">
      <alignment vertical="center"/>
    </xf>
    <xf numFmtId="0" fontId="0" fillId="5" borderId="15" applyNumberFormat="0" applyFont="1" applyFill="1" applyBorder="1" applyAlignment="1" applyProtection="0">
      <alignment vertical="center"/>
    </xf>
    <xf numFmtId="49" fontId="0" fillId="5" borderId="12" applyNumberFormat="1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center"/>
    </xf>
    <xf numFmtId="0" fontId="0" fillId="5" borderId="17" applyNumberFormat="0" applyFont="1" applyFill="1" applyBorder="1" applyAlignment="1" applyProtection="0">
      <alignment vertical="center"/>
    </xf>
    <xf numFmtId="59" fontId="8" fillId="9" borderId="18" applyNumberFormat="1" applyFont="1" applyFill="1" applyBorder="1" applyAlignment="1" applyProtection="0">
      <alignment horizontal="center" vertical="center"/>
    </xf>
    <xf numFmtId="0" fontId="7" fillId="6" borderId="19" applyNumberFormat="1" applyFont="1" applyFill="1" applyBorder="1" applyAlignment="1" applyProtection="0">
      <alignment horizontal="center" vertical="center"/>
    </xf>
    <xf numFmtId="0" fontId="7" fillId="6" borderId="20" applyNumberFormat="1" applyFont="1" applyFill="1" applyBorder="1" applyAlignment="1" applyProtection="0">
      <alignment horizontal="center" vertical="center"/>
    </xf>
    <xf numFmtId="49" fontId="6" fillId="7" borderId="20" applyNumberFormat="1" applyFont="1" applyFill="1" applyBorder="1" applyAlignment="1" applyProtection="0">
      <alignment horizontal="center" vertical="center"/>
    </xf>
    <xf numFmtId="49" fontId="6" fillId="7" borderId="21" applyNumberFormat="1" applyFont="1" applyFill="1" applyBorder="1" applyAlignment="1" applyProtection="0">
      <alignment horizontal="center" vertical="center"/>
    </xf>
    <xf numFmtId="0" fontId="0" fillId="5" borderId="11" applyNumberFormat="0" applyFont="1" applyFill="1" applyBorder="1" applyAlignment="1" applyProtection="0">
      <alignment vertical="center"/>
    </xf>
    <xf numFmtId="3" fontId="0" fillId="10" borderId="11" applyNumberFormat="1" applyFont="1" applyFill="1" applyBorder="1" applyAlignment="1" applyProtection="0">
      <alignment vertical="center"/>
    </xf>
    <xf numFmtId="49" fontId="0" fillId="8" borderId="11" applyNumberFormat="1" applyFont="1" applyFill="1" applyBorder="1" applyAlignment="1" applyProtection="0">
      <alignment vertical="center"/>
    </xf>
    <xf numFmtId="0" fontId="0" fillId="5" borderId="22" applyNumberFormat="0" applyFont="1" applyFill="1" applyBorder="1" applyAlignment="1" applyProtection="0">
      <alignment vertical="center"/>
    </xf>
    <xf numFmtId="3" fontId="0" fillId="8" borderId="11" applyNumberFormat="1" applyFont="1" applyFill="1" applyBorder="1" applyAlignment="1" applyProtection="0">
      <alignment vertical="center"/>
    </xf>
    <xf numFmtId="0" fontId="0" fillId="10" borderId="11" applyNumberFormat="0" applyFont="1" applyFill="1" applyBorder="1" applyAlignment="1" applyProtection="0">
      <alignment vertical="center"/>
    </xf>
    <xf numFmtId="49" fontId="0" fillId="5" borderId="23" applyNumberFormat="1" applyFont="1" applyFill="1" applyBorder="1" applyAlignment="1" applyProtection="0">
      <alignment vertical="bottom"/>
    </xf>
    <xf numFmtId="0" fontId="0" fillId="5" borderId="24" applyNumberFormat="0" applyFont="1" applyFill="1" applyBorder="1" applyAlignment="1" applyProtection="0">
      <alignment vertical="bottom"/>
    </xf>
    <xf numFmtId="0" fontId="1" fillId="5" borderId="25" applyNumberFormat="0" applyFont="1" applyFill="1" applyBorder="1" applyAlignment="1" applyProtection="0">
      <alignment horizontal="center" vertical="center"/>
    </xf>
    <xf numFmtId="59" fontId="1" fillId="5" borderId="17" applyNumberFormat="1" applyFont="1" applyFill="1" applyBorder="1" applyAlignment="1" applyProtection="0">
      <alignment horizontal="center" vertical="center"/>
    </xf>
    <xf numFmtId="0" fontId="0" fillId="5" borderId="26" applyNumberFormat="0" applyFont="1" applyFill="1" applyBorder="1" applyAlignment="1" applyProtection="0">
      <alignment vertical="bottom"/>
    </xf>
    <xf numFmtId="0" fontId="0" fillId="5" borderId="27" applyNumberFormat="0" applyFont="1" applyFill="1" applyBorder="1" applyAlignment="1" applyProtection="0">
      <alignment vertical="bottom"/>
    </xf>
    <xf numFmtId="0" fontId="0" fillId="8" borderId="11" applyNumberFormat="0" applyFont="1" applyFill="1" applyBorder="1" applyAlignment="1" applyProtection="0">
      <alignment vertical="center"/>
    </xf>
    <xf numFmtId="59" fontId="0" fillId="8" borderId="14" applyNumberFormat="1" applyFont="1" applyFill="1" applyBorder="1" applyAlignment="1" applyProtection="0">
      <alignment vertical="center"/>
    </xf>
    <xf numFmtId="49" fontId="0" fillId="5" borderId="14" applyNumberFormat="1" applyFont="1" applyFill="1" applyBorder="1" applyAlignment="1" applyProtection="0">
      <alignment vertical="bottom"/>
    </xf>
    <xf numFmtId="3" fontId="0" fillId="8" borderId="14" applyNumberFormat="1" applyFont="1" applyFill="1" applyBorder="1" applyAlignment="1" applyProtection="0">
      <alignment vertical="center"/>
    </xf>
    <xf numFmtId="0" fontId="0" fillId="5" borderId="14" applyNumberFormat="0" applyFont="1" applyFill="1" applyBorder="1" applyAlignment="1" applyProtection="0">
      <alignment vertical="center"/>
    </xf>
    <xf numFmtId="0" fontId="0" fillId="10" borderId="14" applyNumberFormat="0" applyFont="1" applyFill="1" applyBorder="1" applyAlignment="1" applyProtection="0">
      <alignment vertical="center"/>
    </xf>
    <xf numFmtId="49" fontId="0" fillId="5" borderId="28" applyNumberFormat="1" applyFont="1" applyFill="1" applyBorder="1" applyAlignment="1" applyProtection="0">
      <alignment vertical="bottom"/>
    </xf>
    <xf numFmtId="0" fontId="0" fillId="8" borderId="29" applyNumberFormat="0" applyFont="1" applyFill="1" applyBorder="1" applyAlignment="1" applyProtection="0">
      <alignment vertical="center"/>
    </xf>
    <xf numFmtId="59" fontId="0" fillId="8" borderId="29" applyNumberFormat="1" applyFont="1" applyFill="1" applyBorder="1" applyAlignment="1" applyProtection="0">
      <alignment vertical="center"/>
    </xf>
    <xf numFmtId="59" fontId="0" fillId="9" borderId="29" applyNumberFormat="1" applyFont="1" applyFill="1" applyBorder="1" applyAlignment="1" applyProtection="0">
      <alignment vertical="center"/>
    </xf>
    <xf numFmtId="0" fontId="0" fillId="5" borderId="29" applyNumberFormat="0" applyFont="1" applyFill="1" applyBorder="1" applyAlignment="1" applyProtection="0">
      <alignment vertical="center"/>
    </xf>
    <xf numFmtId="0" fontId="0" fillId="5" borderId="30" applyNumberFormat="0" applyFont="1" applyFill="1" applyBorder="1" applyAlignment="1" applyProtection="0">
      <alignment vertical="center"/>
    </xf>
    <xf numFmtId="0" fontId="0" fillId="5" borderId="31" applyNumberFormat="0" applyFont="1" applyFill="1" applyBorder="1" applyAlignment="1" applyProtection="0">
      <alignment vertical="bottom"/>
    </xf>
    <xf numFmtId="49" fontId="0" fillId="11" borderId="32" applyNumberFormat="1" applyFont="1" applyFill="1" applyBorder="1" applyAlignment="1" applyProtection="0">
      <alignment vertical="bottom"/>
    </xf>
    <xf numFmtId="0" fontId="0" fillId="11" borderId="11" applyNumberFormat="1" applyFont="1" applyFill="1" applyBorder="1" applyAlignment="1" applyProtection="0">
      <alignment vertical="center"/>
    </xf>
    <xf numFmtId="59" fontId="0" fillId="11" borderId="11" applyNumberFormat="1" applyFont="1" applyFill="1" applyBorder="1" applyAlignment="1" applyProtection="0">
      <alignment vertical="center"/>
    </xf>
    <xf numFmtId="0" fontId="0" fillId="11" borderId="11" applyNumberFormat="0" applyFont="1" applyFill="1" applyBorder="1" applyAlignment="1" applyProtection="0">
      <alignment vertical="center"/>
    </xf>
    <xf numFmtId="0" fontId="0" fillId="5" borderId="33" applyNumberFormat="0" applyFont="1" applyFill="1" applyBorder="1" applyAlignment="1" applyProtection="0">
      <alignment vertical="center"/>
    </xf>
    <xf numFmtId="49" fontId="0" fillId="5" borderId="31" applyNumberFormat="1" applyFont="1" applyFill="1" applyBorder="1" applyAlignment="1" applyProtection="0">
      <alignment vertical="bottom"/>
    </xf>
    <xf numFmtId="0" fontId="0" fillId="5" borderId="34" applyNumberFormat="0" applyFont="1" applyFill="1" applyBorder="1" applyAlignment="1" applyProtection="0">
      <alignment vertical="center"/>
    </xf>
    <xf numFmtId="49" fontId="0" fillId="11" borderId="35" applyNumberFormat="1" applyFont="1" applyFill="1" applyBorder="1" applyAlignment="1" applyProtection="0">
      <alignment vertical="bottom"/>
    </xf>
    <xf numFmtId="0" fontId="0" fillId="11" borderId="14" applyNumberFormat="1" applyFont="1" applyFill="1" applyBorder="1" applyAlignment="1" applyProtection="0">
      <alignment vertical="center"/>
    </xf>
    <xf numFmtId="59" fontId="0" fillId="11" borderId="14" applyNumberFormat="1" applyFont="1" applyFill="1" applyBorder="1" applyAlignment="1" applyProtection="0">
      <alignment vertical="center"/>
    </xf>
    <xf numFmtId="0" fontId="0" fillId="11" borderId="36" applyNumberFormat="1" applyFont="1" applyFill="1" applyBorder="1" applyAlignment="1" applyProtection="0">
      <alignment vertical="center"/>
    </xf>
    <xf numFmtId="49" fontId="0" fillId="5" borderId="29" applyNumberFormat="1" applyFont="1" applyFill="1" applyBorder="1" applyAlignment="1" applyProtection="0">
      <alignment vertical="bottom"/>
    </xf>
    <xf numFmtId="0" fontId="0" fillId="8" borderId="29" applyNumberFormat="1" applyFont="1" applyFill="1" applyBorder="1" applyAlignment="1" applyProtection="0">
      <alignment vertical="center"/>
    </xf>
    <xf numFmtId="0" fontId="0" fillId="10" borderId="29" applyNumberFormat="1" applyFont="1" applyFill="1" applyBorder="1" applyAlignment="1" applyProtection="0">
      <alignment vertical="center"/>
    </xf>
    <xf numFmtId="0" fontId="7" fillId="12" borderId="29" applyNumberFormat="0" applyFont="1" applyFill="1" applyBorder="1" applyAlignment="1" applyProtection="0">
      <alignment horizontal="center" vertical="center"/>
    </xf>
    <xf numFmtId="0" fontId="7" fillId="12" borderId="11" applyNumberFormat="1" applyFont="1" applyFill="1" applyBorder="1" applyAlignment="1" applyProtection="0">
      <alignment horizontal="center" vertical="center"/>
    </xf>
    <xf numFmtId="0" fontId="7" fillId="12" borderId="11" applyNumberFormat="0" applyFont="1" applyFill="1" applyBorder="1" applyAlignment="1" applyProtection="0">
      <alignment horizontal="center" vertical="center"/>
    </xf>
    <xf numFmtId="0" fontId="0" fillId="12" borderId="11" applyNumberFormat="0" applyFont="1" applyFill="1" applyBorder="1" applyAlignment="1" applyProtection="0">
      <alignment vertical="center"/>
    </xf>
    <xf numFmtId="59" fontId="9" fillId="9" borderId="18" applyNumberFormat="1" applyFont="1" applyFill="1" applyBorder="1" applyAlignment="1" applyProtection="0">
      <alignment horizontal="center" vertical="center"/>
    </xf>
    <xf numFmtId="0" fontId="0" fillId="5" borderId="11" applyNumberFormat="1" applyFont="1" applyFill="1" applyBorder="1" applyAlignment="1" applyProtection="0">
      <alignment vertical="center"/>
    </xf>
    <xf numFmtId="49" fontId="0" fillId="13" borderId="11" applyNumberFormat="1" applyFont="1" applyFill="1" applyBorder="1" applyAlignment="1" applyProtection="0">
      <alignment vertical="bottom"/>
    </xf>
    <xf numFmtId="0" fontId="0" fillId="13" borderId="11" applyNumberFormat="1" applyFont="1" applyFill="1" applyBorder="1" applyAlignment="1" applyProtection="0">
      <alignment vertical="center"/>
    </xf>
    <xf numFmtId="59" fontId="0" fillId="13" borderId="11" applyNumberFormat="1" applyFont="1" applyFill="1" applyBorder="1" applyAlignment="1" applyProtection="0">
      <alignment vertical="center"/>
    </xf>
    <xf numFmtId="0" fontId="0" fillId="13" borderId="11" applyNumberFormat="0" applyFont="1" applyFill="1" applyBorder="1" applyAlignment="1" applyProtection="0">
      <alignment vertical="center"/>
    </xf>
    <xf numFmtId="0" fontId="0" fillId="5" borderId="23" applyNumberFormat="0" applyFont="1" applyFill="1" applyBorder="1" applyAlignment="1" applyProtection="0">
      <alignment vertical="bottom"/>
    </xf>
    <xf numFmtId="0" fontId="1" fillId="8" borderId="11" applyNumberFormat="0" applyFont="1" applyFill="1" applyBorder="1" applyAlignment="1" applyProtection="0">
      <alignment horizontal="center" vertical="center"/>
    </xf>
    <xf numFmtId="59" fontId="1" fillId="8" borderId="11" applyNumberFormat="1" applyFont="1" applyFill="1" applyBorder="1" applyAlignment="1" applyProtection="0">
      <alignment horizontal="center" vertical="center"/>
    </xf>
    <xf numFmtId="59" fontId="1" fillId="9" borderId="11" applyNumberFormat="1" applyFont="1" applyFill="1" applyBorder="1" applyAlignment="1" applyProtection="0">
      <alignment horizontal="center" vertical="center"/>
    </xf>
    <xf numFmtId="0" fontId="1" fillId="5" borderId="11" applyNumberFormat="0" applyFont="1" applyFill="1" applyBorder="1" applyAlignment="1" applyProtection="0">
      <alignment horizontal="center" vertical="center"/>
    </xf>
    <xf numFmtId="0" fontId="0" fillId="5" borderId="37" applyNumberFormat="0" applyFont="1" applyFill="1" applyBorder="1" applyAlignment="1" applyProtection="0">
      <alignment vertical="bottom"/>
    </xf>
    <xf numFmtId="0" fontId="0" fillId="5" borderId="38" applyNumberFormat="0" applyFont="1" applyFill="1" applyBorder="1" applyAlignment="1" applyProtection="0">
      <alignment vertical="bottom"/>
    </xf>
    <xf numFmtId="49" fontId="0" fillId="5" borderId="39" applyNumberFormat="1" applyFont="1" applyFill="1" applyBorder="1" applyAlignment="1" applyProtection="0">
      <alignment vertical="bottom"/>
    </xf>
    <xf numFmtId="59" fontId="0" fillId="5" borderId="11" applyNumberFormat="1" applyFont="1" applyFill="1" applyBorder="1" applyAlignment="1" applyProtection="0">
      <alignment vertical="center"/>
    </xf>
    <xf numFmtId="0" fontId="0" fillId="5" borderId="11" applyNumberFormat="0" applyFont="1" applyFill="1" applyBorder="1" applyAlignment="1" applyProtection="0">
      <alignment vertical="bottom"/>
    </xf>
    <xf numFmtId="59" fontId="8" fillId="9" borderId="11" applyNumberFormat="1" applyFont="1" applyFill="1" applyBorder="1" applyAlignment="1" applyProtection="0">
      <alignment horizontal="center" vertical="center"/>
    </xf>
    <xf numFmtId="0" fontId="0" fillId="5" borderId="40" applyNumberFormat="0" applyFont="1" applyFill="1" applyBorder="1" applyAlignment="1" applyProtection="0">
      <alignment vertical="center"/>
    </xf>
    <xf numFmtId="49" fontId="6" fillId="7" borderId="41" applyNumberFormat="1" applyFont="1" applyFill="1" applyBorder="1" applyAlignment="1" applyProtection="0">
      <alignment horizontal="center" vertical="center"/>
    </xf>
    <xf numFmtId="49" fontId="6" fillId="7" borderId="42" applyNumberFormat="1" applyFont="1" applyFill="1" applyBorder="1" applyAlignment="1" applyProtection="0">
      <alignment horizontal="center" vertical="center"/>
    </xf>
    <xf numFmtId="17" fontId="6" fillId="6" borderId="42" applyNumberFormat="1" applyFont="1" applyFill="1" applyBorder="1" applyAlignment="1" applyProtection="0">
      <alignment horizontal="center" vertical="center"/>
    </xf>
    <xf numFmtId="59" fontId="0" fillId="5" borderId="43" applyNumberFormat="1" applyFont="1" applyFill="1" applyBorder="1" applyAlignment="1" applyProtection="0">
      <alignment vertical="center"/>
    </xf>
    <xf numFmtId="59" fontId="10" fillId="9" borderId="18" applyNumberFormat="1" applyFont="1" applyFill="1" applyBorder="1" applyAlignment="1" applyProtection="0">
      <alignment horizontal="center" vertical="center"/>
    </xf>
    <xf numFmtId="0" fontId="0" fillId="5" borderId="32" applyNumberFormat="0" applyFont="1" applyFill="1" applyBorder="1" applyAlignment="1" applyProtection="0">
      <alignment vertical="center"/>
    </xf>
    <xf numFmtId="0" fontId="0" fillId="5" borderId="44" applyNumberFormat="0" applyFont="1" applyFill="1" applyBorder="1" applyAlignment="1" applyProtection="0">
      <alignment vertical="center"/>
    </xf>
    <xf numFmtId="0" fontId="0" fillId="5" borderId="24" applyNumberFormat="0" applyFont="1" applyFill="1" applyBorder="1" applyAlignment="1" applyProtection="0">
      <alignment vertical="center"/>
    </xf>
    <xf numFmtId="0" fontId="0" fillId="5" borderId="45" applyNumberFormat="0" applyFont="1" applyFill="1" applyBorder="1" applyAlignment="1" applyProtection="0">
      <alignment vertical="bottom"/>
    </xf>
    <xf numFmtId="0" fontId="0" fillId="5" borderId="45" applyNumberFormat="0" applyFont="1" applyFill="1" applyBorder="1" applyAlignment="1" applyProtection="0">
      <alignment vertical="center"/>
    </xf>
    <xf numFmtId="0" fontId="0" fillId="5" borderId="46" applyNumberFormat="0" applyFont="1" applyFill="1" applyBorder="1" applyAlignment="1" applyProtection="0">
      <alignment vertical="center"/>
    </xf>
    <xf numFmtId="59" fontId="11" fillId="9" borderId="18" applyNumberFormat="1" applyFont="1" applyFill="1" applyBorder="1" applyAlignment="1" applyProtection="0">
      <alignment horizontal="center" vertical="center"/>
    </xf>
    <xf numFmtId="0" fontId="0" fillId="5" borderId="47" applyNumberFormat="0" applyFont="1" applyFill="1" applyBorder="1" applyAlignment="1" applyProtection="0">
      <alignment vertical="center"/>
    </xf>
    <xf numFmtId="0" fontId="0" fillId="5" borderId="48" applyNumberFormat="0" applyFont="1" applyFill="1" applyBorder="1" applyAlignment="1" applyProtection="0">
      <alignment vertical="center"/>
    </xf>
    <xf numFmtId="0" fontId="0" fillId="5" borderId="49" applyNumberFormat="0" applyFont="1" applyFill="1" applyBorder="1" applyAlignment="1" applyProtection="0">
      <alignment vertical="center"/>
    </xf>
    <xf numFmtId="0" fontId="0" fillId="5" borderId="4" applyNumberFormat="0" applyFont="1" applyFill="1" applyBorder="1" applyAlignment="1" applyProtection="0">
      <alignment vertical="center"/>
    </xf>
    <xf numFmtId="0" fontId="0" fillId="5" borderId="50" applyNumberFormat="0" applyFont="1" applyFill="1" applyBorder="1" applyAlignment="1" applyProtection="0">
      <alignment vertical="bottom"/>
    </xf>
    <xf numFmtId="49" fontId="12" fillId="6" borderId="51" applyNumberFormat="1" applyFont="1" applyFill="1" applyBorder="1" applyAlignment="1" applyProtection="0">
      <alignment horizontal="center" vertical="center"/>
    </xf>
    <xf numFmtId="0" fontId="12" fillId="6" borderId="52" applyNumberFormat="0" applyFont="1" applyFill="1" applyBorder="1" applyAlignment="1" applyProtection="0">
      <alignment horizontal="center" vertical="center"/>
    </xf>
    <xf numFmtId="59" fontId="13" fillId="9" borderId="18" applyNumberFormat="1" applyFont="1" applyFill="1" applyBorder="1" applyAlignment="1" applyProtection="0">
      <alignment horizontal="center" vertical="center"/>
    </xf>
    <xf numFmtId="0" fontId="0" fillId="5" borderId="3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5a5a5"/>
      <rgbColor rgb="ffaaaaaa"/>
      <rgbColor rgb="ffff0000"/>
      <rgbColor rgb="ff66ffff"/>
      <rgbColor rgb="ffffff00"/>
      <rgbColor rgb="ff66ff33"/>
      <rgbColor rgb="ffc00000"/>
      <rgbColor rgb="ffff7c80"/>
      <rgbColor rgb="ffff5050"/>
      <rgbColor rgb="ffccf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129</v>
      </c>
      <c r="C11" s="3"/>
      <c r="D11" s="3"/>
    </row>
    <row r="12">
      <c r="B12" s="4"/>
      <c r="C12" t="s" s="4">
        <v>5</v>
      </c>
      <c r="D12" t="s" s="5">
        <v>129</v>
      </c>
    </row>
    <row r="13">
      <c r="B13" t="s" s="3">
        <v>130</v>
      </c>
      <c r="C13" s="3"/>
      <c r="D13" s="3"/>
    </row>
    <row r="14">
      <c r="B14" s="4"/>
      <c r="C14" t="s" s="4">
        <v>5</v>
      </c>
      <c r="D14" t="s" s="5">
        <v>130</v>
      </c>
    </row>
    <row r="15">
      <c r="B15" t="s" s="3">
        <v>131</v>
      </c>
      <c r="C15" s="3"/>
      <c r="D15" s="3"/>
    </row>
    <row r="16">
      <c r="B16" s="4"/>
      <c r="C16" t="s" s="4">
        <v>5</v>
      </c>
      <c r="D16" t="s" s="5">
        <v>131</v>
      </c>
    </row>
    <row r="17">
      <c r="B17" t="s" s="3">
        <v>132</v>
      </c>
      <c r="C17" s="3"/>
      <c r="D17" s="3"/>
    </row>
    <row r="18">
      <c r="B18" s="4"/>
      <c r="C18" t="s" s="4">
        <v>5</v>
      </c>
      <c r="D18" t="s" s="5">
        <v>132</v>
      </c>
    </row>
    <row r="19">
      <c r="B19" t="s" s="3">
        <v>133</v>
      </c>
      <c r="C19" s="3"/>
      <c r="D19" s="3"/>
    </row>
    <row r="20">
      <c r="B20" s="4"/>
      <c r="C20" t="s" s="4">
        <v>5</v>
      </c>
      <c r="D20" t="s" s="5">
        <v>133</v>
      </c>
    </row>
  </sheetData>
  <mergeCells count="1">
    <mergeCell ref="B3:D3"/>
  </mergeCells>
  <hyperlinks>
    <hyperlink ref="D10" location="'Plan1'!R1C1" tooltip="" display="Plan1"/>
    <hyperlink ref="D12" location="'Pre Campanha'!R1C1" tooltip="" display="Pre Campanha"/>
    <hyperlink ref="D14" location="'Campanha'!R1C1" tooltip="" display="Campanha"/>
    <hyperlink ref="D16" location="'Dia da Eleição'!R1C1" tooltip="" display="Dia da Eleição"/>
    <hyperlink ref="D18" location="'Plan2'!R1C1" tooltip="" display="Plan2"/>
    <hyperlink ref="D20" location="'Plan3'!R1C1" tooltip="" display="Plan3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P125"/>
  <sheetViews>
    <sheetView workbookViewId="0" showGridLines="0" defaultGridColor="1"/>
  </sheetViews>
  <sheetFormatPr defaultColWidth="8.83333" defaultRowHeight="15.75" customHeight="1" outlineLevelRow="0" outlineLevelCol="0"/>
  <cols>
    <col min="1" max="1" width="62.1719" style="6" customWidth="1"/>
    <col min="2" max="2" width="10.8516" style="6" customWidth="1"/>
    <col min="3" max="3" width="16.6719" style="6" customWidth="1"/>
    <col min="4" max="4" width="23.6719" style="6" customWidth="1"/>
    <col min="5" max="5" width="8" style="6" customWidth="1"/>
    <col min="6" max="7" width="7.67188" style="6" customWidth="1"/>
    <col min="8" max="8" width="8.5" style="6" customWidth="1"/>
    <col min="9" max="9" width="7.85156" style="6" customWidth="1"/>
    <col min="10" max="10" width="8" style="6" customWidth="1"/>
    <col min="11" max="11" width="7.85156" style="6" customWidth="1"/>
    <col min="12" max="12" width="7.67188" style="6" customWidth="1"/>
    <col min="13" max="14" width="9.35156" style="6" customWidth="1"/>
    <col min="15" max="15" width="11" style="6" customWidth="1"/>
    <col min="16" max="16" width="102.5" style="6" customWidth="1"/>
    <col min="17" max="16384" width="8.85156" style="6" customWidth="1"/>
  </cols>
  <sheetData>
    <row r="1" ht="15.35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</row>
    <row r="2" ht="15.35" customHeight="1">
      <c r="A2" s="11"/>
      <c r="B2" s="12"/>
      <c r="C2" s="12"/>
      <c r="D2" s="13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t="s" s="15">
        <v>7</v>
      </c>
      <c r="P2" s="16"/>
    </row>
    <row r="3" ht="15.35" customHeight="1">
      <c r="A3" t="s" s="17">
        <v>8</v>
      </c>
      <c r="B3" t="s" s="18">
        <v>9</v>
      </c>
      <c r="C3" t="s" s="18">
        <v>10</v>
      </c>
      <c r="D3" t="s" s="18">
        <v>11</v>
      </c>
      <c r="E3" s="19">
        <v>44531</v>
      </c>
      <c r="F3" s="19">
        <v>44562</v>
      </c>
      <c r="G3" s="19">
        <v>44593</v>
      </c>
      <c r="H3" s="19">
        <v>44621</v>
      </c>
      <c r="I3" s="19">
        <v>44652</v>
      </c>
      <c r="J3" s="19">
        <v>44682</v>
      </c>
      <c r="K3" s="19">
        <v>44713</v>
      </c>
      <c r="L3" s="19">
        <v>44743</v>
      </c>
      <c r="M3" s="19">
        <v>44774</v>
      </c>
      <c r="N3" s="19">
        <v>44805</v>
      </c>
      <c r="O3" s="19">
        <v>44835</v>
      </c>
      <c r="P3" s="16"/>
    </row>
    <row r="4" ht="15.35" customHeight="1">
      <c r="A4" t="s" s="20">
        <v>12</v>
      </c>
      <c r="B4" s="21">
        <v>1</v>
      </c>
      <c r="C4" s="22">
        <v>25000</v>
      </c>
      <c r="D4" s="23">
        <v>22500</v>
      </c>
      <c r="E4" s="24"/>
      <c r="F4" s="24">
        <v>12500</v>
      </c>
      <c r="G4" s="24">
        <v>12500</v>
      </c>
      <c r="H4" s="24"/>
      <c r="I4" s="24"/>
      <c r="J4" s="24"/>
      <c r="K4" s="24"/>
      <c r="L4" s="24"/>
      <c r="M4" s="24"/>
      <c r="N4" s="24"/>
      <c r="O4" s="24"/>
      <c r="P4" s="25"/>
    </row>
    <row r="5" ht="15.35" customHeight="1">
      <c r="A5" t="s" s="20">
        <v>13</v>
      </c>
      <c r="B5" s="21">
        <v>1</v>
      </c>
      <c r="C5" s="22">
        <v>30000</v>
      </c>
      <c r="D5" s="23">
        <v>22500</v>
      </c>
      <c r="E5" s="24">
        <v>3000</v>
      </c>
      <c r="F5" s="24">
        <v>3000</v>
      </c>
      <c r="G5" s="24">
        <v>3000</v>
      </c>
      <c r="H5" s="24">
        <v>3000</v>
      </c>
      <c r="I5" s="24">
        <v>3000</v>
      </c>
      <c r="J5" s="24">
        <v>3000</v>
      </c>
      <c r="K5" s="24">
        <v>3000</v>
      </c>
      <c r="L5" s="24">
        <v>3000</v>
      </c>
      <c r="M5" s="24">
        <v>3000</v>
      </c>
      <c r="N5" s="24">
        <v>3000</v>
      </c>
      <c r="O5" s="26"/>
      <c r="P5" s="25"/>
    </row>
    <row r="6" ht="16.5" customHeight="1">
      <c r="A6" t="s" s="20">
        <v>14</v>
      </c>
      <c r="B6" s="21">
        <v>45</v>
      </c>
      <c r="C6" s="22">
        <v>500</v>
      </c>
      <c r="D6" s="27">
        <v>22500</v>
      </c>
      <c r="E6" s="28">
        <v>2000</v>
      </c>
      <c r="F6" s="28">
        <v>2000</v>
      </c>
      <c r="G6" s="28">
        <v>2000</v>
      </c>
      <c r="H6" s="28">
        <v>2000</v>
      </c>
      <c r="I6" s="28">
        <v>2000</v>
      </c>
      <c r="J6" s="28">
        <v>2000</v>
      </c>
      <c r="K6" s="28">
        <v>2000</v>
      </c>
      <c r="L6" s="28">
        <v>2000</v>
      </c>
      <c r="M6" s="28">
        <v>2000</v>
      </c>
      <c r="N6" s="28">
        <v>2000</v>
      </c>
      <c r="O6" s="29"/>
      <c r="P6" t="s" s="30">
        <v>15</v>
      </c>
    </row>
    <row r="7" ht="19.5" customHeight="1">
      <c r="A7" s="31"/>
      <c r="B7" s="32"/>
      <c r="C7" s="33"/>
      <c r="D7" s="34" cm="1">
        <f t="array" ref="D7">SUM(D4:D6)</f>
        <v>67500</v>
      </c>
      <c r="E7" s="35">
        <v>1</v>
      </c>
      <c r="F7" s="36">
        <v>2</v>
      </c>
      <c r="G7" s="36">
        <v>3</v>
      </c>
      <c r="H7" s="36">
        <v>4</v>
      </c>
      <c r="I7" s="36">
        <v>5</v>
      </c>
      <c r="J7" s="36">
        <v>6</v>
      </c>
      <c r="K7" s="36">
        <v>7</v>
      </c>
      <c r="L7" s="36">
        <v>8</v>
      </c>
      <c r="M7" s="36">
        <v>9</v>
      </c>
      <c r="N7" s="36">
        <v>10</v>
      </c>
      <c r="O7" t="s" s="37">
        <v>7</v>
      </c>
      <c r="P7" s="16"/>
    </row>
    <row r="8" ht="15.85" customHeight="1">
      <c r="A8" t="s" s="17">
        <v>16</v>
      </c>
      <c r="B8" t="s" s="18">
        <v>9</v>
      </c>
      <c r="C8" t="s" s="18">
        <v>10</v>
      </c>
      <c r="D8" t="s" s="38">
        <v>11</v>
      </c>
      <c r="E8" s="19">
        <v>44531</v>
      </c>
      <c r="F8" s="19">
        <v>44562</v>
      </c>
      <c r="G8" s="19">
        <v>44593</v>
      </c>
      <c r="H8" s="19">
        <v>44621</v>
      </c>
      <c r="I8" s="19">
        <v>44652</v>
      </c>
      <c r="J8" s="19">
        <v>44682</v>
      </c>
      <c r="K8" s="19">
        <v>44713</v>
      </c>
      <c r="L8" s="19">
        <v>44743</v>
      </c>
      <c r="M8" s="19">
        <v>44774</v>
      </c>
      <c r="N8" s="19">
        <v>44805</v>
      </c>
      <c r="O8" s="19">
        <v>44835</v>
      </c>
      <c r="P8" s="16"/>
    </row>
    <row r="9" ht="15.35" customHeight="1">
      <c r="A9" t="s" s="20">
        <v>17</v>
      </c>
      <c r="B9" s="21">
        <v>45</v>
      </c>
      <c r="C9" s="22">
        <v>1000</v>
      </c>
      <c r="D9" s="23">
        <v>45000</v>
      </c>
      <c r="E9" s="39"/>
      <c r="F9" s="39"/>
      <c r="G9" s="39"/>
      <c r="H9" s="39"/>
      <c r="I9" s="28">
        <v>5</v>
      </c>
      <c r="J9" s="28">
        <v>5</v>
      </c>
      <c r="K9" s="28">
        <v>5</v>
      </c>
      <c r="L9" s="40">
        <v>10</v>
      </c>
      <c r="M9" s="40">
        <v>10</v>
      </c>
      <c r="N9" s="40">
        <v>10</v>
      </c>
      <c r="O9" s="26"/>
      <c r="P9" s="25"/>
    </row>
    <row r="10" ht="15.35" customHeight="1">
      <c r="A10" t="s" s="20">
        <v>18</v>
      </c>
      <c r="B10" s="21">
        <v>120</v>
      </c>
      <c r="C10" t="s" s="41">
        <v>19</v>
      </c>
      <c r="D10" s="23">
        <v>0</v>
      </c>
      <c r="E10" s="28">
        <v>31</v>
      </c>
      <c r="F10" s="28">
        <v>30</v>
      </c>
      <c r="G10" s="28">
        <v>28</v>
      </c>
      <c r="H10" s="28">
        <v>31</v>
      </c>
      <c r="I10" s="28">
        <v>30</v>
      </c>
      <c r="J10" s="28">
        <v>31</v>
      </c>
      <c r="K10" s="28">
        <v>30</v>
      </c>
      <c r="L10" s="28">
        <v>31</v>
      </c>
      <c r="M10" s="28">
        <v>30</v>
      </c>
      <c r="N10" s="28">
        <v>31</v>
      </c>
      <c r="O10" s="42"/>
      <c r="P10" s="25"/>
    </row>
    <row r="11" ht="15.35" customHeight="1">
      <c r="A11" t="s" s="20">
        <v>20</v>
      </c>
      <c r="B11" s="21">
        <v>44</v>
      </c>
      <c r="C11" s="22">
        <v>500</v>
      </c>
      <c r="D11" s="23">
        <v>22000</v>
      </c>
      <c r="E11" s="40">
        <v>2500</v>
      </c>
      <c r="F11" s="40">
        <v>2500</v>
      </c>
      <c r="G11" s="40">
        <v>2500</v>
      </c>
      <c r="H11" s="40">
        <v>2500</v>
      </c>
      <c r="I11" s="40">
        <v>2500</v>
      </c>
      <c r="J11" s="40">
        <v>2500</v>
      </c>
      <c r="K11" s="40">
        <v>2500</v>
      </c>
      <c r="L11" s="40">
        <v>2500</v>
      </c>
      <c r="M11" s="40">
        <v>2500</v>
      </c>
      <c r="N11" s="40">
        <v>2500</v>
      </c>
      <c r="O11" s="42"/>
      <c r="P11" t="s" s="30">
        <v>21</v>
      </c>
    </row>
    <row r="12" ht="15.35" customHeight="1">
      <c r="A12" t="s" s="20">
        <v>22</v>
      </c>
      <c r="B12" s="21">
        <v>330</v>
      </c>
      <c r="C12" s="22"/>
      <c r="D12" s="23">
        <v>21000</v>
      </c>
      <c r="E12" s="40">
        <v>1000</v>
      </c>
      <c r="F12" s="40">
        <v>1000</v>
      </c>
      <c r="G12" s="40">
        <v>1500</v>
      </c>
      <c r="H12" s="40">
        <v>2500</v>
      </c>
      <c r="I12" s="40">
        <v>2500</v>
      </c>
      <c r="J12" s="40">
        <v>2500</v>
      </c>
      <c r="K12" s="40">
        <v>2500</v>
      </c>
      <c r="L12" s="40">
        <v>2500</v>
      </c>
      <c r="M12" s="40">
        <v>2500</v>
      </c>
      <c r="N12" s="40">
        <v>2500</v>
      </c>
      <c r="O12" s="42"/>
      <c r="P12" t="s" s="30">
        <v>23</v>
      </c>
    </row>
    <row r="13" ht="15.35" customHeight="1">
      <c r="A13" t="s" s="20">
        <v>24</v>
      </c>
      <c r="B13" s="43">
        <v>200000</v>
      </c>
      <c r="C13" s="22"/>
      <c r="D13" s="23">
        <v>20000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t="s" s="30">
        <v>25</v>
      </c>
    </row>
    <row r="14" ht="16.5" customHeight="1">
      <c r="A14" t="s" s="20">
        <v>26</v>
      </c>
      <c r="B14" s="43">
        <v>100000</v>
      </c>
      <c r="C14" s="22"/>
      <c r="D14" s="27">
        <v>25000</v>
      </c>
      <c r="E14" s="40"/>
      <c r="F14" s="40"/>
      <c r="G14" s="40"/>
      <c r="H14" s="40"/>
      <c r="I14" s="40">
        <v>30000</v>
      </c>
      <c r="J14" s="40">
        <v>50000</v>
      </c>
      <c r="K14" s="40">
        <v>50000</v>
      </c>
      <c r="L14" s="40">
        <v>50000</v>
      </c>
      <c r="M14" s="40">
        <v>50000</v>
      </c>
      <c r="N14" s="40">
        <v>50000</v>
      </c>
      <c r="O14" s="29"/>
      <c r="P14" t="s" s="45">
        <v>27</v>
      </c>
    </row>
    <row r="15" ht="19.5" customHeight="1">
      <c r="A15" s="46"/>
      <c r="B15" s="47"/>
      <c r="C15" s="48"/>
      <c r="D15" s="34" cm="1">
        <f t="array" ref="D15">SUM(D9:D14)</f>
        <v>133000</v>
      </c>
      <c r="E15" s="35">
        <v>1</v>
      </c>
      <c r="F15" s="36">
        <v>2</v>
      </c>
      <c r="G15" s="36">
        <v>3</v>
      </c>
      <c r="H15" s="36">
        <v>4</v>
      </c>
      <c r="I15" s="36">
        <v>5</v>
      </c>
      <c r="J15" s="36">
        <v>6</v>
      </c>
      <c r="K15" s="36">
        <v>7</v>
      </c>
      <c r="L15" s="36">
        <v>8</v>
      </c>
      <c r="M15" s="36">
        <v>9</v>
      </c>
      <c r="N15" s="36">
        <v>10</v>
      </c>
      <c r="O15" t="s" s="37">
        <v>7</v>
      </c>
      <c r="P15" s="49"/>
    </row>
    <row r="16" ht="15.85" customHeight="1">
      <c r="A16" t="s" s="17">
        <v>28</v>
      </c>
      <c r="B16" t="s" s="18">
        <v>9</v>
      </c>
      <c r="C16" t="s" s="18">
        <v>10</v>
      </c>
      <c r="D16" t="s" s="38">
        <v>11</v>
      </c>
      <c r="E16" s="19">
        <v>44531</v>
      </c>
      <c r="F16" s="19">
        <v>44562</v>
      </c>
      <c r="G16" s="19">
        <v>44593</v>
      </c>
      <c r="H16" s="19">
        <v>44621</v>
      </c>
      <c r="I16" s="19">
        <v>44652</v>
      </c>
      <c r="J16" s="19">
        <v>44682</v>
      </c>
      <c r="K16" s="19">
        <v>44713</v>
      </c>
      <c r="L16" s="19">
        <v>44743</v>
      </c>
      <c r="M16" s="19">
        <v>44774</v>
      </c>
      <c r="N16" s="19">
        <v>44805</v>
      </c>
      <c r="O16" s="19">
        <v>44835</v>
      </c>
      <c r="P16" s="50"/>
    </row>
    <row r="17" ht="15.35" customHeight="1">
      <c r="A17" t="s" s="20">
        <v>29</v>
      </c>
      <c r="B17" s="21">
        <v>1</v>
      </c>
      <c r="C17" s="22">
        <v>15000</v>
      </c>
      <c r="D17" s="22">
        <v>15000</v>
      </c>
      <c r="E17" s="44"/>
      <c r="F17" s="44"/>
      <c r="G17" s="44"/>
      <c r="H17" s="39"/>
      <c r="I17" s="39"/>
      <c r="J17" s="39"/>
      <c r="K17" s="39"/>
      <c r="L17" s="39"/>
      <c r="M17" s="39"/>
      <c r="N17" s="39"/>
      <c r="O17" s="26"/>
      <c r="P17" s="25"/>
    </row>
    <row r="18" ht="15.35" customHeight="1">
      <c r="A18" t="s" s="20">
        <v>30</v>
      </c>
      <c r="B18" s="51"/>
      <c r="C18" s="22"/>
      <c r="D18" s="22"/>
      <c r="E18" s="44"/>
      <c r="F18" s="39"/>
      <c r="G18" s="39"/>
      <c r="H18" s="44"/>
      <c r="I18" s="39"/>
      <c r="J18" s="39"/>
      <c r="K18" s="44"/>
      <c r="L18" s="39"/>
      <c r="M18" s="44"/>
      <c r="N18" s="44"/>
      <c r="O18" s="42"/>
      <c r="P18" s="25"/>
    </row>
    <row r="19" ht="15.35" customHeight="1">
      <c r="A19" t="s" s="20">
        <v>31</v>
      </c>
      <c r="B19" s="51"/>
      <c r="C19" s="22"/>
      <c r="D19" s="22"/>
      <c r="E19" s="39"/>
      <c r="F19" s="39"/>
      <c r="G19" s="39"/>
      <c r="H19" s="44"/>
      <c r="I19" s="44"/>
      <c r="J19" s="44"/>
      <c r="K19" s="44"/>
      <c r="L19" s="44"/>
      <c r="M19" s="44"/>
      <c r="N19" s="44"/>
      <c r="O19" s="42"/>
      <c r="P19" s="25"/>
    </row>
    <row r="20" ht="16.5" customHeight="1">
      <c r="A20" t="s" s="20">
        <v>32</v>
      </c>
      <c r="B20" s="51"/>
      <c r="C20" s="22"/>
      <c r="D20" s="52"/>
      <c r="E20" s="39"/>
      <c r="F20" s="39"/>
      <c r="G20" s="39"/>
      <c r="H20" s="39"/>
      <c r="I20" s="39"/>
      <c r="J20" s="39"/>
      <c r="K20" s="39"/>
      <c r="L20" s="39"/>
      <c r="M20" s="44"/>
      <c r="N20" s="44"/>
      <c r="O20" s="29"/>
      <c r="P20" s="25"/>
    </row>
    <row r="21" ht="19.5" customHeight="1">
      <c r="A21" s="31"/>
      <c r="B21" s="32"/>
      <c r="C21" s="33"/>
      <c r="D21" s="34" cm="1">
        <f t="array" ref="D21">SUM(D17:D20)</f>
        <v>15000</v>
      </c>
      <c r="E21" s="35">
        <v>1</v>
      </c>
      <c r="F21" s="36">
        <v>2</v>
      </c>
      <c r="G21" s="36">
        <v>3</v>
      </c>
      <c r="H21" s="36">
        <v>4</v>
      </c>
      <c r="I21" s="36">
        <v>5</v>
      </c>
      <c r="J21" s="36">
        <v>6</v>
      </c>
      <c r="K21" s="36">
        <v>7</v>
      </c>
      <c r="L21" s="36">
        <v>8</v>
      </c>
      <c r="M21" s="36">
        <v>9</v>
      </c>
      <c r="N21" s="36">
        <v>10</v>
      </c>
      <c r="O21" t="s" s="37">
        <v>7</v>
      </c>
      <c r="P21" s="16"/>
    </row>
    <row r="22" ht="15.85" customHeight="1">
      <c r="A22" t="s" s="17">
        <v>33</v>
      </c>
      <c r="B22" t="s" s="18">
        <v>9</v>
      </c>
      <c r="C22" t="s" s="18">
        <v>10</v>
      </c>
      <c r="D22" t="s" s="38">
        <v>34</v>
      </c>
      <c r="E22" s="19">
        <v>44531</v>
      </c>
      <c r="F22" s="19">
        <v>44562</v>
      </c>
      <c r="G22" s="19">
        <v>44593</v>
      </c>
      <c r="H22" s="19">
        <v>44621</v>
      </c>
      <c r="I22" s="19">
        <v>44652</v>
      </c>
      <c r="J22" s="19">
        <v>44682</v>
      </c>
      <c r="K22" s="19">
        <v>44713</v>
      </c>
      <c r="L22" s="19">
        <v>44743</v>
      </c>
      <c r="M22" s="19">
        <v>44774</v>
      </c>
      <c r="N22" s="19">
        <v>44805</v>
      </c>
      <c r="O22" s="19">
        <v>44835</v>
      </c>
      <c r="P22" s="16"/>
    </row>
    <row r="23" ht="16.5" customHeight="1">
      <c r="A23" t="s" s="53">
        <v>35</v>
      </c>
      <c r="B23" s="54">
        <v>1</v>
      </c>
      <c r="C23" s="52">
        <v>1500</v>
      </c>
      <c r="D23" s="27">
        <v>3000</v>
      </c>
      <c r="E23" s="55"/>
      <c r="F23" s="55"/>
      <c r="G23" s="55"/>
      <c r="H23" s="55"/>
      <c r="I23" s="55"/>
      <c r="J23" s="55"/>
      <c r="K23" s="55"/>
      <c r="L23" s="55"/>
      <c r="M23" s="56"/>
      <c r="N23" s="56"/>
      <c r="O23" s="55"/>
      <c r="P23" s="25"/>
    </row>
    <row r="24" ht="15.85" customHeight="1">
      <c r="A24" t="s" s="57">
        <v>36</v>
      </c>
      <c r="B24" s="58"/>
      <c r="C24" s="59"/>
      <c r="D24" s="60"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3"/>
    </row>
    <row r="25" ht="15.35" customHeight="1">
      <c r="A25" t="s" s="64">
        <v>37</v>
      </c>
      <c r="B25" s="65">
        <v>60</v>
      </c>
      <c r="C25" s="66">
        <v>3000</v>
      </c>
      <c r="D25" s="23">
        <v>180000</v>
      </c>
      <c r="E25" s="67"/>
      <c r="F25" s="67"/>
      <c r="G25" s="65">
        <v>0</v>
      </c>
      <c r="H25" s="65">
        <v>0</v>
      </c>
      <c r="I25" s="65">
        <v>10</v>
      </c>
      <c r="J25" s="65">
        <v>10</v>
      </c>
      <c r="K25" s="65">
        <v>10</v>
      </c>
      <c r="L25" s="65">
        <v>10</v>
      </c>
      <c r="M25" s="65">
        <v>10</v>
      </c>
      <c r="N25" s="65">
        <v>10</v>
      </c>
      <c r="O25" s="68"/>
      <c r="P25" t="s" s="69">
        <v>38</v>
      </c>
    </row>
    <row r="26" ht="15.35" customHeight="1">
      <c r="A26" t="s" s="64">
        <v>39</v>
      </c>
      <c r="B26" s="65">
        <v>60</v>
      </c>
      <c r="C26" s="66">
        <v>2000</v>
      </c>
      <c r="D26" s="23">
        <v>120000</v>
      </c>
      <c r="E26" s="67"/>
      <c r="F26" s="67"/>
      <c r="G26" s="67"/>
      <c r="H26" s="67"/>
      <c r="I26" s="65">
        <v>10</v>
      </c>
      <c r="J26" s="65">
        <v>10</v>
      </c>
      <c r="K26" s="65">
        <v>10</v>
      </c>
      <c r="L26" s="65">
        <v>10</v>
      </c>
      <c r="M26" s="65">
        <v>10</v>
      </c>
      <c r="N26" s="65">
        <v>10</v>
      </c>
      <c r="O26" s="70"/>
      <c r="P26" t="s" s="69">
        <v>40</v>
      </c>
    </row>
    <row r="27" ht="16.5" customHeight="1">
      <c r="A27" t="s" s="71">
        <v>41</v>
      </c>
      <c r="B27" s="72">
        <v>700</v>
      </c>
      <c r="C27" s="73">
        <v>700</v>
      </c>
      <c r="D27" s="27">
        <v>490000</v>
      </c>
      <c r="E27" s="72">
        <v>10</v>
      </c>
      <c r="F27" s="72">
        <v>10</v>
      </c>
      <c r="G27" s="72">
        <v>10</v>
      </c>
      <c r="H27" s="72">
        <v>10</v>
      </c>
      <c r="I27" s="72">
        <v>20</v>
      </c>
      <c r="J27" s="72">
        <v>20</v>
      </c>
      <c r="K27" s="72">
        <v>20</v>
      </c>
      <c r="L27" s="72">
        <v>200</v>
      </c>
      <c r="M27" s="72">
        <v>200</v>
      </c>
      <c r="N27" s="72">
        <v>200</v>
      </c>
      <c r="O27" s="74">
        <v>100</v>
      </c>
      <c r="P27" s="63"/>
    </row>
    <row r="28" ht="15.85" customHeight="1">
      <c r="A28" t="s" s="75">
        <v>42</v>
      </c>
      <c r="B28" s="76">
        <v>360</v>
      </c>
      <c r="C28" s="59">
        <v>25</v>
      </c>
      <c r="D28" s="60">
        <v>9000</v>
      </c>
      <c r="E28" s="61"/>
      <c r="F28" s="61"/>
      <c r="G28" s="61"/>
      <c r="H28" s="61"/>
      <c r="I28" s="77">
        <v>20</v>
      </c>
      <c r="J28" s="77">
        <v>20</v>
      </c>
      <c r="K28" s="77">
        <v>20</v>
      </c>
      <c r="L28" s="77">
        <v>100</v>
      </c>
      <c r="M28" s="77">
        <v>100</v>
      </c>
      <c r="N28" s="77">
        <v>100</v>
      </c>
      <c r="O28" s="78"/>
      <c r="P28" s="25"/>
    </row>
    <row r="29" ht="15.35" customHeight="1">
      <c r="A29" t="s" s="20">
        <v>43</v>
      </c>
      <c r="B29" s="21">
        <v>27</v>
      </c>
      <c r="C29" s="22">
        <v>25</v>
      </c>
      <c r="D29" s="23">
        <v>675</v>
      </c>
      <c r="E29" s="39"/>
      <c r="F29" s="28">
        <v>2</v>
      </c>
      <c r="G29" s="28">
        <v>2</v>
      </c>
      <c r="H29" s="28">
        <v>2</v>
      </c>
      <c r="I29" s="28">
        <v>2</v>
      </c>
      <c r="J29" s="28">
        <v>2</v>
      </c>
      <c r="K29" s="28">
        <v>2</v>
      </c>
      <c r="L29" s="28">
        <v>5</v>
      </c>
      <c r="M29" s="28">
        <v>5</v>
      </c>
      <c r="N29" s="28">
        <v>5</v>
      </c>
      <c r="O29" s="79">
        <v>5</v>
      </c>
      <c r="P29" s="25"/>
    </row>
    <row r="30" ht="15.35" customHeight="1">
      <c r="A30" t="s" s="20">
        <v>44</v>
      </c>
      <c r="B30" s="21">
        <v>8</v>
      </c>
      <c r="C30" s="22">
        <v>4000</v>
      </c>
      <c r="D30" s="23">
        <v>32000</v>
      </c>
      <c r="E30" s="39"/>
      <c r="F30" s="39"/>
      <c r="G30" s="39"/>
      <c r="H30" s="39"/>
      <c r="I30" s="39"/>
      <c r="J30" s="39"/>
      <c r="K30" s="39"/>
      <c r="L30" s="39"/>
      <c r="M30" s="28">
        <v>8</v>
      </c>
      <c r="N30" s="28">
        <v>8</v>
      </c>
      <c r="O30" s="80"/>
      <c r="P30" s="25"/>
    </row>
    <row r="31" ht="15.35" customHeight="1">
      <c r="A31" t="s" s="20">
        <v>45</v>
      </c>
      <c r="B31" s="21">
        <v>7</v>
      </c>
      <c r="C31" s="22">
        <v>6000</v>
      </c>
      <c r="D31" s="23">
        <v>24000</v>
      </c>
      <c r="E31" s="39"/>
      <c r="F31" s="39"/>
      <c r="G31" s="39"/>
      <c r="H31" s="39"/>
      <c r="I31" s="39"/>
      <c r="J31" s="28">
        <v>1</v>
      </c>
      <c r="K31" s="28">
        <v>1</v>
      </c>
      <c r="L31" s="28">
        <v>1</v>
      </c>
      <c r="M31" s="28">
        <v>2</v>
      </c>
      <c r="N31" s="28">
        <v>2</v>
      </c>
      <c r="O31" s="80"/>
      <c r="P31" s="25"/>
    </row>
    <row r="32" ht="15.35" customHeight="1">
      <c r="A32" t="s" s="20">
        <v>46</v>
      </c>
      <c r="B32" t="s" s="41">
        <v>47</v>
      </c>
      <c r="C32" s="22"/>
      <c r="D32" s="23"/>
      <c r="E32" s="39"/>
      <c r="F32" s="39"/>
      <c r="G32" s="39"/>
      <c r="H32" s="39"/>
      <c r="I32" s="39"/>
      <c r="J32" s="39"/>
      <c r="K32" s="39"/>
      <c r="L32" s="44"/>
      <c r="M32" s="44"/>
      <c r="N32" s="44"/>
      <c r="O32" s="80"/>
      <c r="P32" t="s" s="30">
        <v>48</v>
      </c>
    </row>
    <row r="33" ht="15.35" customHeight="1">
      <c r="A33" t="s" s="20">
        <v>49</v>
      </c>
      <c r="B33" s="21">
        <v>200</v>
      </c>
      <c r="C33" s="22">
        <v>25</v>
      </c>
      <c r="D33" s="23">
        <v>5000</v>
      </c>
      <c r="E33" s="39"/>
      <c r="F33" s="39"/>
      <c r="G33" s="39"/>
      <c r="H33" s="39"/>
      <c r="I33" s="39"/>
      <c r="J33" s="39"/>
      <c r="K33" s="39"/>
      <c r="L33" s="39"/>
      <c r="M33" s="44"/>
      <c r="N33" s="44"/>
      <c r="O33" s="80"/>
      <c r="P33" s="25"/>
    </row>
    <row r="34" ht="15.35" customHeight="1">
      <c r="A34" t="s" s="20">
        <v>50</v>
      </c>
      <c r="B34" s="21">
        <v>5</v>
      </c>
      <c r="C34" s="22"/>
      <c r="D34" s="23"/>
      <c r="E34" s="39"/>
      <c r="F34" s="39"/>
      <c r="G34" s="39"/>
      <c r="H34" s="39"/>
      <c r="I34" s="39"/>
      <c r="J34" s="39"/>
      <c r="K34" s="44"/>
      <c r="L34" s="44"/>
      <c r="M34" s="44"/>
      <c r="N34" s="44"/>
      <c r="O34" s="26"/>
      <c r="P34" t="s" s="30">
        <v>51</v>
      </c>
    </row>
    <row r="35" ht="15.35" customHeight="1">
      <c r="A35" t="s" s="20">
        <v>52</v>
      </c>
      <c r="B35" s="21">
        <v>6</v>
      </c>
      <c r="C35" s="22">
        <v>3500</v>
      </c>
      <c r="D35" s="23"/>
      <c r="E35" s="39"/>
      <c r="F35" s="39"/>
      <c r="G35" s="39"/>
      <c r="H35" s="39"/>
      <c r="I35" s="39"/>
      <c r="J35" s="39"/>
      <c r="K35" s="39"/>
      <c r="L35" s="39"/>
      <c r="M35" s="39"/>
      <c r="N35" s="44"/>
      <c r="O35" s="42"/>
      <c r="P35" s="25"/>
    </row>
    <row r="36" ht="15.35" customHeight="1">
      <c r="A36" t="s" s="20">
        <v>53</v>
      </c>
      <c r="B36" s="21">
        <v>1</v>
      </c>
      <c r="C36" s="22">
        <v>15000</v>
      </c>
      <c r="D36" s="23"/>
      <c r="E36" s="39"/>
      <c r="F36" s="39"/>
      <c r="G36" s="39"/>
      <c r="H36" s="39"/>
      <c r="I36" s="39"/>
      <c r="J36" s="39"/>
      <c r="K36" s="39"/>
      <c r="L36" s="39"/>
      <c r="M36" s="44"/>
      <c r="N36" s="44"/>
      <c r="O36" s="42"/>
      <c r="P36" s="25"/>
    </row>
    <row r="37" ht="15.35" customHeight="1">
      <c r="A37" t="s" s="20">
        <v>54</v>
      </c>
      <c r="B37" s="21">
        <v>4</v>
      </c>
      <c r="C37" s="22">
        <v>850</v>
      </c>
      <c r="D37" s="23">
        <v>3400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2"/>
      <c r="P37" s="25"/>
    </row>
    <row r="38" ht="15.35" customHeight="1">
      <c r="A38" t="s" s="20">
        <v>55</v>
      </c>
      <c r="B38" s="21">
        <v>2</v>
      </c>
      <c r="C38" s="22">
        <v>2000</v>
      </c>
      <c r="D38" s="23">
        <v>4000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2"/>
      <c r="P38" s="25"/>
    </row>
    <row r="39" ht="16.5" customHeight="1">
      <c r="A39" t="s" s="20">
        <v>56</v>
      </c>
      <c r="B39" s="21">
        <v>200</v>
      </c>
      <c r="C39" s="22">
        <v>15</v>
      </c>
      <c r="D39" s="27">
        <v>3000</v>
      </c>
      <c r="E39" s="39"/>
      <c r="F39" s="39"/>
      <c r="G39" s="39"/>
      <c r="H39" s="39"/>
      <c r="I39" s="39"/>
      <c r="J39" s="39"/>
      <c r="K39" s="39"/>
      <c r="L39" s="39"/>
      <c r="M39" s="39"/>
      <c r="N39" s="44"/>
      <c r="O39" s="29"/>
      <c r="P39" s="25"/>
    </row>
    <row r="40" ht="19.5" customHeight="1">
      <c r="A40" s="31"/>
      <c r="B40" s="32"/>
      <c r="C40" s="33"/>
      <c r="D40" s="34" cm="1">
        <f t="array" ref="D40">SUM(D23:D39)</f>
        <v>874075</v>
      </c>
      <c r="E40" s="35">
        <v>1</v>
      </c>
      <c r="F40" s="36">
        <v>2</v>
      </c>
      <c r="G40" s="36">
        <v>3</v>
      </c>
      <c r="H40" s="36">
        <v>4</v>
      </c>
      <c r="I40" s="36">
        <v>5</v>
      </c>
      <c r="J40" s="36">
        <v>6</v>
      </c>
      <c r="K40" s="36">
        <v>7</v>
      </c>
      <c r="L40" s="36">
        <v>8</v>
      </c>
      <c r="M40" s="36">
        <v>9</v>
      </c>
      <c r="N40" s="36">
        <v>10</v>
      </c>
      <c r="O40" t="s" s="37">
        <v>7</v>
      </c>
      <c r="P40" s="16"/>
    </row>
    <row r="41" ht="15.85" customHeight="1">
      <c r="A41" t="s" s="17">
        <v>57</v>
      </c>
      <c r="B41" t="s" s="18">
        <v>9</v>
      </c>
      <c r="C41" t="s" s="18">
        <v>10</v>
      </c>
      <c r="D41" t="s" s="38">
        <v>11</v>
      </c>
      <c r="E41" s="19">
        <v>44531</v>
      </c>
      <c r="F41" s="19">
        <v>44562</v>
      </c>
      <c r="G41" s="19">
        <v>44593</v>
      </c>
      <c r="H41" s="19">
        <v>44621</v>
      </c>
      <c r="I41" s="19">
        <v>44652</v>
      </c>
      <c r="J41" s="19">
        <v>44682</v>
      </c>
      <c r="K41" s="19">
        <v>44713</v>
      </c>
      <c r="L41" s="19">
        <v>44743</v>
      </c>
      <c r="M41" s="19">
        <v>44774</v>
      </c>
      <c r="N41" s="19">
        <v>44805</v>
      </c>
      <c r="O41" s="19">
        <v>44835</v>
      </c>
      <c r="P41" s="16"/>
    </row>
    <row r="42" ht="15.35" customHeight="1">
      <c r="A42" t="s" s="20">
        <v>58</v>
      </c>
      <c r="B42" s="43">
        <v>30000</v>
      </c>
      <c r="C42" s="22"/>
      <c r="D42" s="23"/>
      <c r="E42" s="39"/>
      <c r="F42" s="39"/>
      <c r="G42" s="39"/>
      <c r="H42" s="39"/>
      <c r="I42" s="39"/>
      <c r="J42" s="40">
        <v>10000</v>
      </c>
      <c r="K42" s="40">
        <v>10000</v>
      </c>
      <c r="L42" s="40">
        <v>10000</v>
      </c>
      <c r="M42" s="39"/>
      <c r="N42" s="39"/>
      <c r="O42" s="26"/>
      <c r="P42" t="s" s="30">
        <v>59</v>
      </c>
    </row>
    <row r="43" ht="15.35" customHeight="1">
      <c r="A43" t="s" s="20">
        <v>60</v>
      </c>
      <c r="B43" s="43">
        <v>50000</v>
      </c>
      <c r="C43" s="22"/>
      <c r="D43" s="23"/>
      <c r="E43" s="39"/>
      <c r="F43" s="39"/>
      <c r="G43" s="39"/>
      <c r="H43" s="39"/>
      <c r="I43" s="39"/>
      <c r="J43" s="39"/>
      <c r="K43" s="39"/>
      <c r="L43" s="39"/>
      <c r="M43" s="40">
        <v>30000</v>
      </c>
      <c r="N43" s="40">
        <v>300000</v>
      </c>
      <c r="O43" s="42"/>
      <c r="P43" t="s" s="30">
        <v>61</v>
      </c>
    </row>
    <row r="44" ht="15.35" customHeight="1">
      <c r="A44" t="s" s="20">
        <v>62</v>
      </c>
      <c r="B44" s="43">
        <v>250000</v>
      </c>
      <c r="C44" s="22"/>
      <c r="D44" s="23"/>
      <c r="E44" s="39"/>
      <c r="F44" s="39"/>
      <c r="G44" s="39"/>
      <c r="H44" s="39"/>
      <c r="I44" s="39"/>
      <c r="J44" s="39"/>
      <c r="K44" s="39"/>
      <c r="L44" s="39"/>
      <c r="M44" s="40">
        <v>125000</v>
      </c>
      <c r="N44" s="40">
        <v>125000</v>
      </c>
      <c r="O44" s="42"/>
      <c r="P44" s="25"/>
    </row>
    <row r="45" ht="15.35" customHeight="1">
      <c r="A45" t="s" s="20">
        <v>63</v>
      </c>
      <c r="B45" s="43">
        <v>20000</v>
      </c>
      <c r="C45" s="22"/>
      <c r="D45" s="23"/>
      <c r="E45" s="39"/>
      <c r="F45" s="39"/>
      <c r="G45" s="39"/>
      <c r="H45" s="39"/>
      <c r="I45" s="39"/>
      <c r="J45" s="39"/>
      <c r="K45" s="39"/>
      <c r="L45" s="39"/>
      <c r="M45" s="40">
        <v>10000</v>
      </c>
      <c r="N45" s="40">
        <v>10000</v>
      </c>
      <c r="O45" s="29"/>
      <c r="P45" s="25"/>
    </row>
    <row r="46" ht="15.35" customHeight="1">
      <c r="A46" t="s" s="20">
        <v>64</v>
      </c>
      <c r="B46" s="43">
        <v>500000</v>
      </c>
      <c r="C46" s="22"/>
      <c r="D46" s="23"/>
      <c r="E46" s="39"/>
      <c r="F46" s="39"/>
      <c r="G46" s="39"/>
      <c r="H46" s="39"/>
      <c r="I46" s="39"/>
      <c r="J46" s="39"/>
      <c r="K46" s="39"/>
      <c r="L46" s="39"/>
      <c r="M46" s="44"/>
      <c r="N46" s="44"/>
      <c r="O46" s="81"/>
      <c r="P46" s="25"/>
    </row>
    <row r="47" ht="15.35" customHeight="1">
      <c r="A47" t="s" s="20">
        <v>65</v>
      </c>
      <c r="B47" s="43">
        <v>2000</v>
      </c>
      <c r="C47" s="22"/>
      <c r="D47" s="23"/>
      <c r="E47" s="39"/>
      <c r="F47" s="39"/>
      <c r="G47" s="39"/>
      <c r="H47" s="39"/>
      <c r="I47" s="39"/>
      <c r="J47" s="39"/>
      <c r="K47" s="39"/>
      <c r="L47" s="39"/>
      <c r="M47" s="40">
        <v>1000</v>
      </c>
      <c r="N47" s="40">
        <v>1000</v>
      </c>
      <c r="O47" s="26"/>
      <c r="P47" t="s" s="30">
        <v>66</v>
      </c>
    </row>
    <row r="48" ht="15.35" customHeight="1">
      <c r="A48" t="s" s="20">
        <v>67</v>
      </c>
      <c r="B48" s="21">
        <v>100</v>
      </c>
      <c r="C48" s="22"/>
      <c r="D48" s="23"/>
      <c r="E48" s="39"/>
      <c r="F48" s="39"/>
      <c r="G48" s="39"/>
      <c r="H48" s="39"/>
      <c r="I48" s="39"/>
      <c r="J48" s="39"/>
      <c r="K48" s="39"/>
      <c r="L48" s="39"/>
      <c r="M48" s="44"/>
      <c r="N48" s="44"/>
      <c r="O48" s="42"/>
      <c r="P48" s="25"/>
    </row>
    <row r="49" ht="15.35" customHeight="1">
      <c r="A49" t="s" s="20">
        <v>68</v>
      </c>
      <c r="B49" s="43">
        <v>5000</v>
      </c>
      <c r="C49" s="22"/>
      <c r="D49" s="23"/>
      <c r="E49" s="39"/>
      <c r="F49" s="39"/>
      <c r="G49" s="39"/>
      <c r="H49" s="39"/>
      <c r="I49" s="39"/>
      <c r="J49" s="39"/>
      <c r="K49" s="39"/>
      <c r="L49" s="39"/>
      <c r="M49" s="44"/>
      <c r="N49" s="44"/>
      <c r="O49" s="42"/>
      <c r="P49" s="25"/>
    </row>
    <row r="50" ht="16.5" customHeight="1">
      <c r="A50" t="s" s="20">
        <v>69</v>
      </c>
      <c r="B50" s="43">
        <v>500</v>
      </c>
      <c r="C50" s="22"/>
      <c r="D50" s="27"/>
      <c r="E50" s="39"/>
      <c r="F50" s="39"/>
      <c r="G50" s="39"/>
      <c r="H50" s="39"/>
      <c r="I50" s="39"/>
      <c r="J50" s="39"/>
      <c r="K50" s="39"/>
      <c r="L50" s="39"/>
      <c r="M50" s="44"/>
      <c r="N50" s="44"/>
      <c r="O50" s="29"/>
      <c r="P50" s="25"/>
    </row>
    <row r="51" ht="19.5" customHeight="1">
      <c r="A51" s="31"/>
      <c r="B51" s="32"/>
      <c r="C51" s="33"/>
      <c r="D51" s="82">
        <v>50000</v>
      </c>
      <c r="E51" s="35">
        <v>1</v>
      </c>
      <c r="F51" s="36">
        <v>2</v>
      </c>
      <c r="G51" s="36">
        <v>3</v>
      </c>
      <c r="H51" s="36">
        <v>4</v>
      </c>
      <c r="I51" s="36">
        <v>5</v>
      </c>
      <c r="J51" s="36">
        <v>6</v>
      </c>
      <c r="K51" s="36">
        <v>7</v>
      </c>
      <c r="L51" s="36">
        <v>8</v>
      </c>
      <c r="M51" s="36">
        <v>9</v>
      </c>
      <c r="N51" s="36">
        <v>10</v>
      </c>
      <c r="O51" t="s" s="37">
        <v>7</v>
      </c>
      <c r="P51" s="16"/>
    </row>
    <row r="52" ht="15.85" customHeight="1">
      <c r="A52" t="s" s="17">
        <v>70</v>
      </c>
      <c r="B52" t="s" s="18">
        <v>9</v>
      </c>
      <c r="C52" t="s" s="18">
        <v>10</v>
      </c>
      <c r="D52" t="s" s="38">
        <v>11</v>
      </c>
      <c r="E52" s="19">
        <v>44531</v>
      </c>
      <c r="F52" s="19">
        <v>44562</v>
      </c>
      <c r="G52" s="19">
        <v>44593</v>
      </c>
      <c r="H52" s="19">
        <v>44621</v>
      </c>
      <c r="I52" s="19">
        <v>44652</v>
      </c>
      <c r="J52" s="19">
        <v>44682</v>
      </c>
      <c r="K52" s="19">
        <v>44713</v>
      </c>
      <c r="L52" s="19">
        <v>44743</v>
      </c>
      <c r="M52" s="19">
        <v>44774</v>
      </c>
      <c r="N52" s="19">
        <v>44805</v>
      </c>
      <c r="O52" s="19">
        <v>44835</v>
      </c>
      <c r="P52" s="16"/>
    </row>
    <row r="53" ht="15.35" customHeight="1">
      <c r="A53" t="s" s="20">
        <v>71</v>
      </c>
      <c r="B53" s="21">
        <v>55</v>
      </c>
      <c r="C53" s="22">
        <v>0</v>
      </c>
      <c r="D53" s="23"/>
      <c r="E53" s="83">
        <v>4</v>
      </c>
      <c r="F53" s="83">
        <v>4</v>
      </c>
      <c r="G53" s="83">
        <v>4</v>
      </c>
      <c r="H53" s="83">
        <v>4</v>
      </c>
      <c r="I53" s="83">
        <v>4</v>
      </c>
      <c r="J53" s="28">
        <v>16</v>
      </c>
      <c r="K53" s="28">
        <v>16</v>
      </c>
      <c r="L53" s="28">
        <v>16</v>
      </c>
      <c r="M53" s="28">
        <v>16</v>
      </c>
      <c r="N53" s="28">
        <v>16</v>
      </c>
      <c r="O53" s="39"/>
      <c r="P53" t="s" s="30">
        <v>72</v>
      </c>
    </row>
    <row r="54" ht="15.35" customHeight="1">
      <c r="A54" t="s" s="84">
        <v>73</v>
      </c>
      <c r="B54" s="85">
        <v>21</v>
      </c>
      <c r="C54" s="86">
        <v>1500</v>
      </c>
      <c r="D54" s="23" cm="1">
        <f t="array" ref="D54">B54*C54</f>
        <v>31500</v>
      </c>
      <c r="E54" s="85">
        <v>1</v>
      </c>
      <c r="F54" s="85">
        <v>1</v>
      </c>
      <c r="G54" s="85">
        <v>1</v>
      </c>
      <c r="H54" s="85">
        <v>1</v>
      </c>
      <c r="I54" s="85">
        <v>1</v>
      </c>
      <c r="J54" s="85">
        <v>4</v>
      </c>
      <c r="K54" s="85">
        <v>4</v>
      </c>
      <c r="L54" s="85">
        <v>4</v>
      </c>
      <c r="M54" s="85">
        <v>4</v>
      </c>
      <c r="N54" s="85">
        <v>4</v>
      </c>
      <c r="O54" s="39"/>
      <c r="P54" s="25"/>
    </row>
    <row r="55" ht="15.35" customHeight="1">
      <c r="A55" t="s" s="84">
        <v>74</v>
      </c>
      <c r="B55" s="85">
        <v>21</v>
      </c>
      <c r="C55" s="86">
        <v>1500</v>
      </c>
      <c r="D55" s="23" cm="1">
        <f t="array" ref="D55">B55*C55</f>
        <v>31500</v>
      </c>
      <c r="E55" s="85">
        <v>1</v>
      </c>
      <c r="F55" s="85">
        <v>1</v>
      </c>
      <c r="G55" s="85">
        <v>1</v>
      </c>
      <c r="H55" s="85">
        <v>1</v>
      </c>
      <c r="I55" s="85">
        <v>1</v>
      </c>
      <c r="J55" s="85">
        <v>4</v>
      </c>
      <c r="K55" s="85">
        <v>4</v>
      </c>
      <c r="L55" s="85">
        <v>4</v>
      </c>
      <c r="M55" s="85">
        <v>4</v>
      </c>
      <c r="N55" s="85">
        <v>4</v>
      </c>
      <c r="O55" s="39"/>
      <c r="P55" s="25"/>
    </row>
    <row r="56" ht="15.35" customHeight="1">
      <c r="A56" t="s" s="84">
        <v>75</v>
      </c>
      <c r="B56" s="85">
        <v>15</v>
      </c>
      <c r="C56" s="86">
        <v>1000</v>
      </c>
      <c r="D56" s="23" cm="1">
        <f t="array" ref="D56">B56*C56</f>
        <v>15000</v>
      </c>
      <c r="E56" s="85">
        <v>1</v>
      </c>
      <c r="F56" s="85">
        <v>1</v>
      </c>
      <c r="G56" s="85">
        <v>1</v>
      </c>
      <c r="H56" s="85">
        <v>1</v>
      </c>
      <c r="I56" s="85">
        <v>1</v>
      </c>
      <c r="J56" s="85">
        <v>4</v>
      </c>
      <c r="K56" s="85">
        <v>4</v>
      </c>
      <c r="L56" s="85">
        <v>4</v>
      </c>
      <c r="M56" s="85">
        <v>4</v>
      </c>
      <c r="N56" s="85">
        <v>4</v>
      </c>
      <c r="O56" s="39"/>
      <c r="P56" s="25"/>
    </row>
    <row r="57" ht="15.35" customHeight="1">
      <c r="A57" t="s" s="84">
        <v>76</v>
      </c>
      <c r="B57" s="85">
        <v>10</v>
      </c>
      <c r="C57" s="86">
        <v>500</v>
      </c>
      <c r="D57" s="23" cm="1">
        <f t="array" ref="D57">B57*C57</f>
        <v>5000</v>
      </c>
      <c r="E57" s="85">
        <v>1</v>
      </c>
      <c r="F57" s="85">
        <v>1</v>
      </c>
      <c r="G57" s="85">
        <v>1</v>
      </c>
      <c r="H57" s="85">
        <v>1</v>
      </c>
      <c r="I57" s="85">
        <v>1</v>
      </c>
      <c r="J57" s="85">
        <v>4</v>
      </c>
      <c r="K57" s="85">
        <v>4</v>
      </c>
      <c r="L57" s="85">
        <v>4</v>
      </c>
      <c r="M57" s="85">
        <v>4</v>
      </c>
      <c r="N57" s="85">
        <v>4</v>
      </c>
      <c r="O57" s="39"/>
      <c r="P57" s="25"/>
    </row>
    <row r="58" ht="15.35" customHeight="1">
      <c r="A58" t="s" s="20">
        <v>77</v>
      </c>
      <c r="B58" s="21">
        <v>55</v>
      </c>
      <c r="C58" s="22">
        <v>0</v>
      </c>
      <c r="D58" s="2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39"/>
      <c r="P58" t="s" s="30">
        <v>78</v>
      </c>
    </row>
    <row r="59" ht="15.35" customHeight="1">
      <c r="A59" t="s" s="84">
        <v>73</v>
      </c>
      <c r="B59" s="85">
        <v>21</v>
      </c>
      <c r="C59" s="86">
        <v>700</v>
      </c>
      <c r="D59" s="23" cm="1">
        <f t="array" ref="D59">B59*C59</f>
        <v>14700</v>
      </c>
      <c r="E59" s="85">
        <v>1</v>
      </c>
      <c r="F59" s="85">
        <v>1</v>
      </c>
      <c r="G59" s="85">
        <v>1</v>
      </c>
      <c r="H59" s="85">
        <v>1</v>
      </c>
      <c r="I59" s="85">
        <v>1</v>
      </c>
      <c r="J59" s="85">
        <v>4</v>
      </c>
      <c r="K59" s="85">
        <v>4</v>
      </c>
      <c r="L59" s="85">
        <v>4</v>
      </c>
      <c r="M59" s="85">
        <v>4</v>
      </c>
      <c r="N59" s="85">
        <v>4</v>
      </c>
      <c r="O59" s="39"/>
      <c r="P59" s="25"/>
    </row>
    <row r="60" ht="15.35" customHeight="1">
      <c r="A60" t="s" s="84">
        <v>75</v>
      </c>
      <c r="B60" s="85">
        <v>21</v>
      </c>
      <c r="C60" s="86">
        <v>700</v>
      </c>
      <c r="D60" s="23" cm="1">
        <f t="array" ref="D60">B60*C60</f>
        <v>14700</v>
      </c>
      <c r="E60" s="85">
        <v>1</v>
      </c>
      <c r="F60" s="85">
        <v>1</v>
      </c>
      <c r="G60" s="85">
        <v>1</v>
      </c>
      <c r="H60" s="85">
        <v>1</v>
      </c>
      <c r="I60" s="85">
        <v>1</v>
      </c>
      <c r="J60" s="85">
        <v>4</v>
      </c>
      <c r="K60" s="85">
        <v>4</v>
      </c>
      <c r="L60" s="85">
        <v>4</v>
      </c>
      <c r="M60" s="85">
        <v>4</v>
      </c>
      <c r="N60" s="85">
        <v>4</v>
      </c>
      <c r="O60" s="39"/>
      <c r="P60" s="25"/>
    </row>
    <row r="61" ht="15.35" customHeight="1">
      <c r="A61" t="s" s="84">
        <v>76</v>
      </c>
      <c r="B61" s="85">
        <v>10</v>
      </c>
      <c r="C61" s="86">
        <v>300</v>
      </c>
      <c r="D61" s="23" cm="1">
        <f t="array" ref="D61">B61*C61</f>
        <v>3000</v>
      </c>
      <c r="E61" s="87"/>
      <c r="F61" s="87"/>
      <c r="G61" s="87"/>
      <c r="H61" s="87"/>
      <c r="I61" s="87"/>
      <c r="J61" s="85">
        <v>1</v>
      </c>
      <c r="K61" s="85">
        <v>1</v>
      </c>
      <c r="L61" s="85">
        <v>1</v>
      </c>
      <c r="M61" s="85">
        <v>1</v>
      </c>
      <c r="N61" s="85">
        <v>1</v>
      </c>
      <c r="O61" s="39"/>
      <c r="P61" s="88"/>
    </row>
    <row r="62" ht="15.35" customHeight="1">
      <c r="A62" t="s" s="20">
        <v>79</v>
      </c>
      <c r="B62" s="89"/>
      <c r="C62" s="90"/>
      <c r="D62" s="91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2"/>
      <c r="P62" s="93"/>
    </row>
    <row r="63" ht="15.35" customHeight="1">
      <c r="A63" t="s" s="84">
        <v>80</v>
      </c>
      <c r="B63" s="87"/>
      <c r="C63" s="86"/>
      <c r="D63" s="23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9"/>
      <c r="P63" s="94"/>
    </row>
    <row r="64" ht="15.35" customHeight="1">
      <c r="A64" t="s" s="84">
        <v>81</v>
      </c>
      <c r="B64" s="87"/>
      <c r="C64" s="86"/>
      <c r="D64" s="23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9"/>
      <c r="P64" s="25"/>
    </row>
    <row r="65" ht="15.35" customHeight="1">
      <c r="A65" t="s" s="84">
        <v>82</v>
      </c>
      <c r="B65" s="87"/>
      <c r="C65" s="86"/>
      <c r="D65" s="23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9"/>
      <c r="P65" s="25"/>
    </row>
    <row r="66" ht="15.35" customHeight="1">
      <c r="A66" t="s" s="84">
        <v>83</v>
      </c>
      <c r="B66" s="87"/>
      <c r="C66" s="86"/>
      <c r="D66" s="23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9"/>
      <c r="P66" s="25"/>
    </row>
    <row r="67" ht="15.35" customHeight="1">
      <c r="A67" t="s" s="84">
        <v>84</v>
      </c>
      <c r="B67" s="87"/>
      <c r="C67" s="86"/>
      <c r="D67" s="23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39"/>
      <c r="P67" s="25"/>
    </row>
    <row r="68" ht="15.35" customHeight="1">
      <c r="A68" t="s" s="84">
        <v>85</v>
      </c>
      <c r="B68" s="87"/>
      <c r="C68" s="86"/>
      <c r="D68" s="23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9"/>
      <c r="P68" s="25"/>
    </row>
    <row r="69" ht="15.35" customHeight="1">
      <c r="A69" t="s" s="84">
        <v>86</v>
      </c>
      <c r="B69" s="87"/>
      <c r="C69" s="86"/>
      <c r="D69" s="23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39"/>
      <c r="P69" s="25"/>
    </row>
    <row r="70" ht="15.35" customHeight="1">
      <c r="A70" t="s" s="84">
        <v>87</v>
      </c>
      <c r="B70" s="87"/>
      <c r="C70" s="86"/>
      <c r="D70" s="23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39"/>
      <c r="P70" s="25"/>
    </row>
    <row r="71" ht="16.5" customHeight="1">
      <c r="A71" t="s" s="84">
        <v>88</v>
      </c>
      <c r="B71" s="87"/>
      <c r="C71" s="86"/>
      <c r="D71" s="2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9"/>
      <c r="P71" s="25"/>
    </row>
    <row r="72" ht="19.5" customHeight="1">
      <c r="A72" s="31"/>
      <c r="B72" s="32"/>
      <c r="C72" s="33"/>
      <c r="D72" s="34" cm="1">
        <f t="array" ref="D72">SUM(D53:D71)</f>
        <v>115400</v>
      </c>
      <c r="E72" s="35">
        <v>1</v>
      </c>
      <c r="F72" s="36">
        <v>2</v>
      </c>
      <c r="G72" s="36">
        <v>3</v>
      </c>
      <c r="H72" s="36">
        <v>4</v>
      </c>
      <c r="I72" s="36">
        <v>5</v>
      </c>
      <c r="J72" s="36">
        <v>6</v>
      </c>
      <c r="K72" s="36">
        <v>7</v>
      </c>
      <c r="L72" s="36">
        <v>8</v>
      </c>
      <c r="M72" s="36">
        <v>9</v>
      </c>
      <c r="N72" s="36">
        <v>10</v>
      </c>
      <c r="O72" t="s" s="37">
        <v>7</v>
      </c>
      <c r="P72" s="16"/>
    </row>
    <row r="73" ht="15.85" customHeight="1">
      <c r="A73" t="s" s="17">
        <v>89</v>
      </c>
      <c r="B73" t="s" s="18">
        <v>9</v>
      </c>
      <c r="C73" t="s" s="18">
        <v>10</v>
      </c>
      <c r="D73" t="s" s="38">
        <v>11</v>
      </c>
      <c r="E73" s="19">
        <v>44531</v>
      </c>
      <c r="F73" s="19">
        <v>44562</v>
      </c>
      <c r="G73" s="19">
        <v>44593</v>
      </c>
      <c r="H73" s="19">
        <v>44621</v>
      </c>
      <c r="I73" s="19">
        <v>44652</v>
      </c>
      <c r="J73" s="19">
        <v>44682</v>
      </c>
      <c r="K73" s="19">
        <v>44713</v>
      </c>
      <c r="L73" s="19">
        <v>44743</v>
      </c>
      <c r="M73" s="19">
        <v>44774</v>
      </c>
      <c r="N73" s="19">
        <v>44805</v>
      </c>
      <c r="O73" s="19">
        <v>44835</v>
      </c>
      <c r="P73" s="16"/>
    </row>
    <row r="74" ht="15.35" customHeight="1">
      <c r="A74" t="s" s="20">
        <v>90</v>
      </c>
      <c r="B74" s="21">
        <v>1</v>
      </c>
      <c r="C74" s="22">
        <v>1500</v>
      </c>
      <c r="D74" s="23">
        <v>1500</v>
      </c>
      <c r="E74" s="39"/>
      <c r="F74" s="44"/>
      <c r="G74" s="39"/>
      <c r="H74" s="39"/>
      <c r="I74" s="39"/>
      <c r="J74" s="39"/>
      <c r="K74" s="39"/>
      <c r="L74" s="39"/>
      <c r="M74" s="39"/>
      <c r="N74" s="39"/>
      <c r="O74" s="39"/>
      <c r="P74" s="25"/>
    </row>
    <row r="75" ht="15.35" customHeight="1">
      <c r="A75" t="s" s="20">
        <v>91</v>
      </c>
      <c r="B75" s="21">
        <v>2</v>
      </c>
      <c r="C75" s="22">
        <v>3500</v>
      </c>
      <c r="D75" s="23">
        <v>6000</v>
      </c>
      <c r="E75" s="39"/>
      <c r="F75" s="44"/>
      <c r="G75" s="39"/>
      <c r="H75" s="39"/>
      <c r="I75" s="39"/>
      <c r="J75" s="39"/>
      <c r="K75" s="39"/>
      <c r="L75" s="39"/>
      <c r="M75" s="39"/>
      <c r="N75" s="39"/>
      <c r="O75" s="39"/>
      <c r="P75" s="25"/>
    </row>
    <row r="76" ht="15.35" customHeight="1">
      <c r="A76" t="s" s="20">
        <v>92</v>
      </c>
      <c r="B76" s="21">
        <v>2</v>
      </c>
      <c r="C76" s="22">
        <v>1000</v>
      </c>
      <c r="D76" s="23">
        <v>2000</v>
      </c>
      <c r="E76" s="39"/>
      <c r="F76" s="44"/>
      <c r="G76" s="39"/>
      <c r="H76" s="39"/>
      <c r="I76" s="39"/>
      <c r="J76" s="39"/>
      <c r="K76" s="39"/>
      <c r="L76" s="39"/>
      <c r="M76" s="39"/>
      <c r="N76" s="39"/>
      <c r="O76" s="39"/>
      <c r="P76" s="25"/>
    </row>
    <row r="77" ht="15.35" customHeight="1">
      <c r="A77" t="s" s="20">
        <v>93</v>
      </c>
      <c r="B77" s="21">
        <v>2</v>
      </c>
      <c r="C77" s="22">
        <v>600</v>
      </c>
      <c r="D77" s="23">
        <v>1200</v>
      </c>
      <c r="E77" s="39"/>
      <c r="F77" s="44"/>
      <c r="G77" s="39"/>
      <c r="H77" s="39"/>
      <c r="I77" s="39"/>
      <c r="J77" s="39"/>
      <c r="K77" s="39"/>
      <c r="L77" s="39"/>
      <c r="M77" s="39"/>
      <c r="N77" s="39"/>
      <c r="O77" s="39"/>
      <c r="P77" s="25"/>
    </row>
    <row r="78" ht="15.35" customHeight="1">
      <c r="A78" t="s" s="20">
        <v>94</v>
      </c>
      <c r="B78" s="21">
        <v>2</v>
      </c>
      <c r="C78" s="22">
        <v>600</v>
      </c>
      <c r="D78" s="23">
        <v>1200</v>
      </c>
      <c r="E78" s="39"/>
      <c r="F78" s="44"/>
      <c r="G78" s="39"/>
      <c r="H78" s="39"/>
      <c r="I78" s="39"/>
      <c r="J78" s="39"/>
      <c r="K78" s="39"/>
      <c r="L78" s="39"/>
      <c r="M78" s="39"/>
      <c r="N78" s="39"/>
      <c r="O78" s="39"/>
      <c r="P78" s="25"/>
    </row>
    <row r="79" ht="15.35" customHeight="1">
      <c r="A79" t="s" s="20">
        <v>95</v>
      </c>
      <c r="B79" s="21">
        <v>2</v>
      </c>
      <c r="C79" s="22">
        <v>4000</v>
      </c>
      <c r="D79" s="23">
        <v>8000</v>
      </c>
      <c r="E79" s="39"/>
      <c r="F79" s="44"/>
      <c r="G79" s="39"/>
      <c r="H79" s="39"/>
      <c r="I79" s="39"/>
      <c r="J79" s="39"/>
      <c r="K79" s="39"/>
      <c r="L79" s="39"/>
      <c r="M79" s="39"/>
      <c r="N79" s="39"/>
      <c r="O79" s="39"/>
      <c r="P79" s="25"/>
    </row>
    <row r="80" ht="15.35" customHeight="1">
      <c r="A80" t="s" s="20">
        <v>96</v>
      </c>
      <c r="B80" s="21">
        <v>1</v>
      </c>
      <c r="C80" s="22">
        <v>350</v>
      </c>
      <c r="D80" s="23">
        <v>350</v>
      </c>
      <c r="E80" s="39"/>
      <c r="F80" s="44"/>
      <c r="G80" s="39"/>
      <c r="H80" s="39"/>
      <c r="I80" s="39"/>
      <c r="J80" s="39"/>
      <c r="K80" s="39"/>
      <c r="L80" s="39"/>
      <c r="M80" s="39"/>
      <c r="N80" s="39"/>
      <c r="O80" s="39"/>
      <c r="P80" s="25"/>
    </row>
    <row r="81" ht="15.35" customHeight="1">
      <c r="A81" t="s" s="20">
        <v>97</v>
      </c>
      <c r="B81" s="21">
        <v>1</v>
      </c>
      <c r="C81" s="22">
        <v>500</v>
      </c>
      <c r="D81" s="23">
        <v>500</v>
      </c>
      <c r="E81" s="39"/>
      <c r="F81" s="44"/>
      <c r="G81" s="39"/>
      <c r="H81" s="39"/>
      <c r="I81" s="39"/>
      <c r="J81" s="39"/>
      <c r="K81" s="39"/>
      <c r="L81" s="39"/>
      <c r="M81" s="39"/>
      <c r="N81" s="39"/>
      <c r="O81" s="39"/>
      <c r="P81" s="25"/>
    </row>
    <row r="82" ht="16.5" customHeight="1">
      <c r="A82" t="s" s="20">
        <v>98</v>
      </c>
      <c r="B82" s="21">
        <v>1</v>
      </c>
      <c r="C82" s="22">
        <v>350</v>
      </c>
      <c r="D82" s="27">
        <v>350</v>
      </c>
      <c r="E82" s="39"/>
      <c r="F82" s="44"/>
      <c r="G82" s="39"/>
      <c r="H82" s="39"/>
      <c r="I82" s="39"/>
      <c r="J82" s="39"/>
      <c r="K82" s="39"/>
      <c r="L82" s="39"/>
      <c r="M82" s="39"/>
      <c r="N82" s="39"/>
      <c r="O82" s="39"/>
      <c r="P82" s="25"/>
    </row>
    <row r="83" ht="19.5" customHeight="1">
      <c r="A83" s="31"/>
      <c r="B83" s="32"/>
      <c r="C83" s="33"/>
      <c r="D83" s="82" cm="1">
        <f t="array" ref="D83">SUM(D74:D82)</f>
        <v>21100</v>
      </c>
      <c r="E83" s="35">
        <v>1</v>
      </c>
      <c r="F83" s="36">
        <v>2</v>
      </c>
      <c r="G83" s="36">
        <v>3</v>
      </c>
      <c r="H83" s="36">
        <v>4</v>
      </c>
      <c r="I83" s="36">
        <v>5</v>
      </c>
      <c r="J83" s="36">
        <v>6</v>
      </c>
      <c r="K83" s="36">
        <v>7</v>
      </c>
      <c r="L83" s="36">
        <v>8</v>
      </c>
      <c r="M83" s="36">
        <v>9</v>
      </c>
      <c r="N83" s="36">
        <v>10</v>
      </c>
      <c r="O83" t="s" s="37">
        <v>7</v>
      </c>
      <c r="P83" s="16"/>
    </row>
    <row r="84" ht="15.85" customHeight="1">
      <c r="A84" t="s" s="17">
        <v>99</v>
      </c>
      <c r="B84" t="s" s="18">
        <v>9</v>
      </c>
      <c r="C84" t="s" s="18">
        <v>10</v>
      </c>
      <c r="D84" t="s" s="38">
        <v>11</v>
      </c>
      <c r="E84" s="19">
        <v>44531</v>
      </c>
      <c r="F84" s="19">
        <v>44562</v>
      </c>
      <c r="G84" s="19">
        <v>44593</v>
      </c>
      <c r="H84" s="19">
        <v>44621</v>
      </c>
      <c r="I84" s="19">
        <v>44652</v>
      </c>
      <c r="J84" s="19">
        <v>44682</v>
      </c>
      <c r="K84" s="19">
        <v>44713</v>
      </c>
      <c r="L84" s="19">
        <v>44743</v>
      </c>
      <c r="M84" s="19">
        <v>44774</v>
      </c>
      <c r="N84" s="19">
        <v>44805</v>
      </c>
      <c r="O84" s="19">
        <v>44835</v>
      </c>
      <c r="P84" s="16"/>
    </row>
    <row r="85" ht="15.35" customHeight="1">
      <c r="A85" t="s" s="20">
        <v>26</v>
      </c>
      <c r="B85" s="21">
        <v>1</v>
      </c>
      <c r="C85" s="22">
        <v>500</v>
      </c>
      <c r="D85" s="23">
        <v>500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25"/>
    </row>
    <row r="86" ht="15.35" customHeight="1">
      <c r="A86" t="s" s="20">
        <v>100</v>
      </c>
      <c r="B86" s="21">
        <v>1</v>
      </c>
      <c r="C86" s="22">
        <v>500</v>
      </c>
      <c r="D86" s="23">
        <v>500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25"/>
    </row>
    <row r="87" ht="16.5" customHeight="1">
      <c r="A87" t="s" s="20">
        <v>101</v>
      </c>
      <c r="B87" s="21">
        <v>1</v>
      </c>
      <c r="C87" s="22">
        <v>5000</v>
      </c>
      <c r="D87" s="27">
        <v>5000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25"/>
    </row>
    <row r="88" ht="19.5" customHeight="1">
      <c r="A88" s="31"/>
      <c r="B88" s="32"/>
      <c r="C88" s="33"/>
      <c r="D88" s="82" cm="1">
        <f t="array" ref="D88">SUM(D85:D87)</f>
        <v>6000</v>
      </c>
      <c r="E88" s="35">
        <v>1</v>
      </c>
      <c r="F88" s="36">
        <v>2</v>
      </c>
      <c r="G88" s="36">
        <v>3</v>
      </c>
      <c r="H88" s="36">
        <v>4</v>
      </c>
      <c r="I88" s="36">
        <v>5</v>
      </c>
      <c r="J88" s="36">
        <v>6</v>
      </c>
      <c r="K88" s="36">
        <v>7</v>
      </c>
      <c r="L88" s="36">
        <v>8</v>
      </c>
      <c r="M88" s="36">
        <v>9</v>
      </c>
      <c r="N88" s="36">
        <v>10</v>
      </c>
      <c r="O88" t="s" s="37">
        <v>7</v>
      </c>
      <c r="P88" s="16"/>
    </row>
    <row r="89" ht="15.85" customHeight="1">
      <c r="A89" t="s" s="17">
        <v>102</v>
      </c>
      <c r="B89" t="s" s="18">
        <v>9</v>
      </c>
      <c r="C89" t="s" s="18">
        <v>10</v>
      </c>
      <c r="D89" t="s" s="38">
        <v>11</v>
      </c>
      <c r="E89" s="19">
        <v>44531</v>
      </c>
      <c r="F89" s="19">
        <v>44562</v>
      </c>
      <c r="G89" s="19">
        <v>44593</v>
      </c>
      <c r="H89" s="19">
        <v>44621</v>
      </c>
      <c r="I89" s="19">
        <v>44652</v>
      </c>
      <c r="J89" s="19">
        <v>44682</v>
      </c>
      <c r="K89" s="19">
        <v>44713</v>
      </c>
      <c r="L89" s="19">
        <v>44743</v>
      </c>
      <c r="M89" s="19">
        <v>44774</v>
      </c>
      <c r="N89" s="19">
        <v>44805</v>
      </c>
      <c r="O89" s="19">
        <v>44835</v>
      </c>
      <c r="P89" s="16"/>
    </row>
    <row r="90" ht="15.35" customHeight="1">
      <c r="A90" t="s" s="20">
        <v>103</v>
      </c>
      <c r="B90" s="43">
        <v>1000</v>
      </c>
      <c r="C90" s="22">
        <v>70</v>
      </c>
      <c r="D90" s="23">
        <v>70000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39"/>
      <c r="P90" s="25"/>
    </row>
    <row r="91" ht="15.35" customHeight="1">
      <c r="A91" t="s" s="20">
        <v>104</v>
      </c>
      <c r="B91" s="51"/>
      <c r="C91" s="22"/>
      <c r="D91" s="23">
        <v>3000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25"/>
    </row>
    <row r="92" ht="15.35" customHeight="1">
      <c r="A92" t="s" s="95">
        <v>105</v>
      </c>
      <c r="B92" s="51"/>
      <c r="C92" s="22"/>
      <c r="D92" s="23">
        <v>5000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25"/>
    </row>
    <row r="93" ht="15.35" customHeight="1">
      <c r="A93" t="s" s="20">
        <v>106</v>
      </c>
      <c r="B93" s="51"/>
      <c r="C93" s="22"/>
      <c r="D93" s="23">
        <v>10000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25"/>
    </row>
    <row r="94" ht="15.35" customHeight="1">
      <c r="A94" t="s" s="20">
        <v>107</v>
      </c>
      <c r="B94" s="51"/>
      <c r="C94" s="22"/>
      <c r="D94" s="23">
        <v>2500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25"/>
    </row>
    <row r="95" ht="16.5" customHeight="1">
      <c r="A95" t="s" s="20">
        <v>108</v>
      </c>
      <c r="B95" s="51"/>
      <c r="C95" s="22"/>
      <c r="D95" s="27">
        <v>5000</v>
      </c>
      <c r="E95" s="39"/>
      <c r="F95" s="39"/>
      <c r="G95" s="39"/>
      <c r="H95" s="39"/>
      <c r="I95" s="39"/>
      <c r="J95" s="39"/>
      <c r="K95" s="39"/>
      <c r="L95" s="44"/>
      <c r="M95" s="44"/>
      <c r="N95" s="44"/>
      <c r="O95" s="39"/>
      <c r="P95" s="25"/>
    </row>
    <row r="96" ht="19.5" customHeight="1">
      <c r="A96" s="31"/>
      <c r="B96" s="32"/>
      <c r="C96" s="33"/>
      <c r="D96" s="34" cm="1">
        <f t="array" ref="D96">SUM(D90:D95)</f>
        <v>95500</v>
      </c>
      <c r="E96" s="35">
        <v>1</v>
      </c>
      <c r="F96" s="36">
        <v>2</v>
      </c>
      <c r="G96" s="36">
        <v>3</v>
      </c>
      <c r="H96" s="36">
        <v>4</v>
      </c>
      <c r="I96" s="36">
        <v>5</v>
      </c>
      <c r="J96" s="36">
        <v>6</v>
      </c>
      <c r="K96" s="36">
        <v>7</v>
      </c>
      <c r="L96" s="36">
        <v>8</v>
      </c>
      <c r="M96" s="36">
        <v>9</v>
      </c>
      <c r="N96" s="36">
        <v>10</v>
      </c>
      <c r="O96" t="s" s="37">
        <v>7</v>
      </c>
      <c r="P96" s="16"/>
    </row>
    <row r="97" ht="15.85" customHeight="1">
      <c r="A97" t="s" s="17">
        <v>109</v>
      </c>
      <c r="B97" t="s" s="18">
        <v>9</v>
      </c>
      <c r="C97" t="s" s="18">
        <v>10</v>
      </c>
      <c r="D97" t="s" s="38">
        <v>11</v>
      </c>
      <c r="E97" s="19">
        <v>44531</v>
      </c>
      <c r="F97" s="19">
        <v>44562</v>
      </c>
      <c r="G97" s="19">
        <v>44593</v>
      </c>
      <c r="H97" s="19">
        <v>44621</v>
      </c>
      <c r="I97" s="19">
        <v>44652</v>
      </c>
      <c r="J97" s="19">
        <v>44682</v>
      </c>
      <c r="K97" s="19">
        <v>44713</v>
      </c>
      <c r="L97" s="19">
        <v>44743</v>
      </c>
      <c r="M97" s="19">
        <v>44774</v>
      </c>
      <c r="N97" s="19">
        <v>44805</v>
      </c>
      <c r="O97" s="19">
        <v>44835</v>
      </c>
      <c r="P97" s="16"/>
    </row>
    <row r="98" ht="15.35" customHeight="1">
      <c r="A98" t="s" s="20">
        <v>36</v>
      </c>
      <c r="B98" s="21">
        <v>150</v>
      </c>
      <c r="C98" s="22">
        <v>100</v>
      </c>
      <c r="D98" s="23">
        <v>0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67"/>
      <c r="P98" s="25"/>
    </row>
    <row r="99" ht="15.35" customHeight="1">
      <c r="A99" t="s" s="20">
        <v>64</v>
      </c>
      <c r="B99" s="43">
        <v>250000</v>
      </c>
      <c r="C99" s="22"/>
      <c r="D99" s="23" cm="1">
        <f t="array" ref="D99">SUM(D89)</f>
        <v>0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67"/>
      <c r="P99" s="25"/>
    </row>
    <row r="100" ht="15.35" customHeight="1">
      <c r="A100" t="s" s="20">
        <v>110</v>
      </c>
      <c r="B100" s="21">
        <v>300</v>
      </c>
      <c r="C100" t="s" s="41">
        <v>111</v>
      </c>
      <c r="D100" s="23">
        <v>3600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67"/>
      <c r="P100" s="25"/>
    </row>
    <row r="101" ht="15.35" customHeight="1">
      <c r="A101" t="s" s="20">
        <v>112</v>
      </c>
      <c r="B101" s="51"/>
      <c r="C101" s="22"/>
      <c r="D101" s="23" cm="1">
        <f t="array" ref="D101">SUM(D91)</f>
        <v>3000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65">
        <v>10</v>
      </c>
      <c r="P101" s="25"/>
    </row>
    <row r="102" ht="16.5" customHeight="1">
      <c r="A102" t="s" s="20">
        <v>113</v>
      </c>
      <c r="B102" s="21">
        <v>2500</v>
      </c>
      <c r="C102" s="22"/>
      <c r="D102" s="27">
        <v>18750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65">
        <v>2500</v>
      </c>
      <c r="P102" s="25"/>
    </row>
    <row r="103" ht="19.5" customHeight="1">
      <c r="A103" s="31"/>
      <c r="B103" s="32"/>
      <c r="C103" s="33"/>
      <c r="D103" s="82" cm="1">
        <f t="array" ref="D103">SUM(D94)</f>
        <v>2500</v>
      </c>
      <c r="E103" s="35">
        <v>1</v>
      </c>
      <c r="F103" s="36">
        <v>2</v>
      </c>
      <c r="G103" s="36">
        <v>3</v>
      </c>
      <c r="H103" s="36">
        <v>4</v>
      </c>
      <c r="I103" s="36">
        <v>5</v>
      </c>
      <c r="J103" s="36">
        <v>6</v>
      </c>
      <c r="K103" s="36">
        <v>7</v>
      </c>
      <c r="L103" s="36">
        <v>8</v>
      </c>
      <c r="M103" s="36">
        <v>9</v>
      </c>
      <c r="N103" s="36">
        <v>10</v>
      </c>
      <c r="O103" t="s" s="37">
        <v>7</v>
      </c>
      <c r="P103" s="16"/>
    </row>
    <row r="104" ht="15.85" customHeight="1">
      <c r="A104" t="s" s="17">
        <v>114</v>
      </c>
      <c r="B104" t="s" s="18">
        <v>9</v>
      </c>
      <c r="C104" t="s" s="18">
        <v>10</v>
      </c>
      <c r="D104" t="s" s="38">
        <v>11</v>
      </c>
      <c r="E104" s="19">
        <v>44531</v>
      </c>
      <c r="F104" s="19">
        <v>44562</v>
      </c>
      <c r="G104" s="19">
        <v>44593</v>
      </c>
      <c r="H104" s="19">
        <v>44621</v>
      </c>
      <c r="I104" s="19">
        <v>44652</v>
      </c>
      <c r="J104" s="19">
        <v>44682</v>
      </c>
      <c r="K104" s="19">
        <v>44713</v>
      </c>
      <c r="L104" s="19">
        <v>44743</v>
      </c>
      <c r="M104" s="19">
        <v>44774</v>
      </c>
      <c r="N104" s="19">
        <v>44805</v>
      </c>
      <c r="O104" s="19">
        <v>44835</v>
      </c>
      <c r="P104" s="16"/>
    </row>
    <row r="105" ht="15.35" customHeight="1">
      <c r="A105" t="s" s="20">
        <v>115</v>
      </c>
      <c r="B105" s="39"/>
      <c r="C105" s="96"/>
      <c r="D105" s="23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25"/>
    </row>
    <row r="106" ht="15.35" customHeight="1">
      <c r="A106" t="s" s="20">
        <v>116</v>
      </c>
      <c r="B106" s="39"/>
      <c r="C106" s="96"/>
      <c r="D106" s="23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25"/>
    </row>
    <row r="107" ht="16.5" customHeight="1">
      <c r="A107" t="s" s="20">
        <v>117</v>
      </c>
      <c r="B107" s="39"/>
      <c r="C107" s="96"/>
      <c r="D107" s="27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25"/>
    </row>
    <row r="108" ht="19.5" customHeight="1">
      <c r="A108" s="31"/>
      <c r="B108" s="32"/>
      <c r="C108" s="33"/>
      <c r="D108" s="34">
        <v>30000</v>
      </c>
      <c r="E108" s="35">
        <v>1</v>
      </c>
      <c r="F108" s="36">
        <v>2</v>
      </c>
      <c r="G108" s="36">
        <v>3</v>
      </c>
      <c r="H108" s="36">
        <v>4</v>
      </c>
      <c r="I108" s="36">
        <v>5</v>
      </c>
      <c r="J108" s="36">
        <v>6</v>
      </c>
      <c r="K108" s="36">
        <v>7</v>
      </c>
      <c r="L108" s="36">
        <v>8</v>
      </c>
      <c r="M108" s="36">
        <v>9</v>
      </c>
      <c r="N108" s="36">
        <v>10</v>
      </c>
      <c r="O108" t="s" s="37">
        <v>7</v>
      </c>
      <c r="P108" s="16"/>
    </row>
    <row r="109" ht="15.85" customHeight="1">
      <c r="A109" t="s" s="17">
        <v>118</v>
      </c>
      <c r="B109" t="s" s="18">
        <v>9</v>
      </c>
      <c r="C109" t="s" s="18">
        <v>10</v>
      </c>
      <c r="D109" t="s" s="38">
        <v>11</v>
      </c>
      <c r="E109" s="19">
        <v>44531</v>
      </c>
      <c r="F109" s="19">
        <v>44562</v>
      </c>
      <c r="G109" s="19">
        <v>44593</v>
      </c>
      <c r="H109" s="19">
        <v>44621</v>
      </c>
      <c r="I109" s="19">
        <v>44652</v>
      </c>
      <c r="J109" s="19">
        <v>44682</v>
      </c>
      <c r="K109" s="19">
        <v>44713</v>
      </c>
      <c r="L109" s="19">
        <v>44743</v>
      </c>
      <c r="M109" s="19">
        <v>44774</v>
      </c>
      <c r="N109" s="19">
        <v>44805</v>
      </c>
      <c r="O109" s="19">
        <v>44835</v>
      </c>
      <c r="P109" s="16"/>
    </row>
    <row r="110" ht="15.35" customHeight="1">
      <c r="A110" t="s" s="20">
        <v>119</v>
      </c>
      <c r="B110" s="24">
        <v>1</v>
      </c>
      <c r="C110" s="96">
        <v>3000</v>
      </c>
      <c r="D110" s="23">
        <v>6000</v>
      </c>
      <c r="E110" s="39"/>
      <c r="F110" s="39"/>
      <c r="G110" s="39"/>
      <c r="H110" s="39"/>
      <c r="I110" s="39"/>
      <c r="J110" s="39"/>
      <c r="K110" s="39"/>
      <c r="L110" s="39"/>
      <c r="M110" s="40">
        <v>3000</v>
      </c>
      <c r="N110" s="40">
        <v>3000</v>
      </c>
      <c r="O110" s="39"/>
      <c r="P110" s="25"/>
    </row>
    <row r="111" ht="15.35" customHeight="1">
      <c r="A111" t="s" s="20">
        <v>120</v>
      </c>
      <c r="B111" s="24">
        <v>1</v>
      </c>
      <c r="C111" s="96">
        <v>3500</v>
      </c>
      <c r="D111" s="23">
        <v>21000</v>
      </c>
      <c r="E111" s="39"/>
      <c r="F111" s="39"/>
      <c r="G111" s="39"/>
      <c r="H111" s="39"/>
      <c r="I111" s="40">
        <v>3500</v>
      </c>
      <c r="J111" s="40">
        <v>3500</v>
      </c>
      <c r="K111" s="40">
        <v>3500</v>
      </c>
      <c r="L111" s="40">
        <v>3500</v>
      </c>
      <c r="M111" s="40">
        <v>3500</v>
      </c>
      <c r="N111" s="40">
        <v>3500</v>
      </c>
      <c r="O111" s="39"/>
      <c r="P111" s="25"/>
    </row>
    <row r="112" ht="15.35" customHeight="1">
      <c r="A112" t="s" s="20">
        <v>121</v>
      </c>
      <c r="B112" s="24"/>
      <c r="C112" s="96"/>
      <c r="D112" s="23"/>
      <c r="E112" s="39"/>
      <c r="F112" s="39"/>
      <c r="G112" s="39"/>
      <c r="H112" s="39"/>
      <c r="I112" s="44"/>
      <c r="J112" s="44"/>
      <c r="K112" s="44"/>
      <c r="L112" s="44"/>
      <c r="M112" s="44"/>
      <c r="N112" s="44"/>
      <c r="O112" s="39"/>
      <c r="P112" s="25"/>
    </row>
    <row r="113" ht="18.75" customHeight="1">
      <c r="A113" s="97"/>
      <c r="B113" s="39"/>
      <c r="C113" s="96"/>
      <c r="D113" s="98" cm="1">
        <f t="array" ref="D113">SUM(D110:D112)</f>
        <v>27000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99"/>
      <c r="O113" t="s" s="37">
        <v>7</v>
      </c>
      <c r="P113" s="16"/>
    </row>
    <row r="114" ht="15.35" customHeight="1">
      <c r="A114" t="s" s="100">
        <v>122</v>
      </c>
      <c r="B114" t="s" s="101">
        <v>9</v>
      </c>
      <c r="C114" t="s" s="101">
        <v>10</v>
      </c>
      <c r="D114" t="s" s="101">
        <v>11</v>
      </c>
      <c r="E114" s="102">
        <v>44531</v>
      </c>
      <c r="F114" s="102">
        <v>44562</v>
      </c>
      <c r="G114" s="102">
        <v>44593</v>
      </c>
      <c r="H114" s="102">
        <v>44621</v>
      </c>
      <c r="I114" s="102">
        <v>44652</v>
      </c>
      <c r="J114" s="102">
        <v>44682</v>
      </c>
      <c r="K114" s="102">
        <v>44713</v>
      </c>
      <c r="L114" s="102">
        <v>44743</v>
      </c>
      <c r="M114" s="102">
        <v>44774</v>
      </c>
      <c r="N114" s="102">
        <v>44805</v>
      </c>
      <c r="O114" s="19">
        <v>44835</v>
      </c>
      <c r="P114" s="16"/>
    </row>
    <row r="115" ht="15.35" customHeight="1">
      <c r="A115" t="s" s="20">
        <v>123</v>
      </c>
      <c r="B115" s="83">
        <v>3</v>
      </c>
      <c r="C115" s="96">
        <v>15000</v>
      </c>
      <c r="D115" s="23">
        <v>45000</v>
      </c>
      <c r="E115" s="39"/>
      <c r="F115" s="39"/>
      <c r="G115" s="39"/>
      <c r="H115" s="44"/>
      <c r="I115" s="39"/>
      <c r="J115" s="39"/>
      <c r="K115" s="44"/>
      <c r="L115" s="39"/>
      <c r="M115" s="39"/>
      <c r="N115" s="44"/>
      <c r="O115" s="39"/>
      <c r="P115" s="25"/>
    </row>
    <row r="116" ht="16.5" customHeight="1">
      <c r="A116" t="s" s="20">
        <v>124</v>
      </c>
      <c r="B116" s="83">
        <v>2</v>
      </c>
      <c r="C116" s="96">
        <v>25000</v>
      </c>
      <c r="D116" s="27">
        <v>50000</v>
      </c>
      <c r="E116" s="39"/>
      <c r="F116" s="44"/>
      <c r="G116" s="39"/>
      <c r="H116" s="39"/>
      <c r="I116" s="39"/>
      <c r="J116" s="39"/>
      <c r="K116" s="39"/>
      <c r="L116" s="44"/>
      <c r="M116" s="39"/>
      <c r="N116" s="39"/>
      <c r="O116" s="39"/>
      <c r="P116" s="25"/>
    </row>
    <row r="117" ht="16.5" customHeight="1">
      <c r="A117" s="97"/>
      <c r="B117" s="39"/>
      <c r="C117" s="103"/>
      <c r="D117" s="104" cm="1">
        <f t="array" ref="D117">SUM(D115:D116)</f>
        <v>95000</v>
      </c>
      <c r="E117" s="105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25"/>
    </row>
    <row r="118" ht="15.85" customHeight="1">
      <c r="A118" s="31"/>
      <c r="B118" s="32"/>
      <c r="C118" s="32"/>
      <c r="D118" s="106"/>
      <c r="E118" s="32"/>
      <c r="F118" s="32"/>
      <c r="G118" s="32"/>
      <c r="H118" s="32"/>
      <c r="I118" s="32"/>
      <c r="J118" s="32"/>
      <c r="K118" s="32"/>
      <c r="L118" s="32"/>
      <c r="M118" s="32"/>
      <c r="N118" s="107"/>
      <c r="O118" t="s" s="37">
        <v>7</v>
      </c>
      <c r="P118" s="16"/>
    </row>
    <row r="119" ht="15.35" customHeight="1">
      <c r="A119" t="s" s="17">
        <v>109</v>
      </c>
      <c r="B119" t="s" s="18">
        <v>9</v>
      </c>
      <c r="C119" t="s" s="18">
        <v>10</v>
      </c>
      <c r="D119" t="s" s="18">
        <v>11</v>
      </c>
      <c r="E119" s="19">
        <v>44531</v>
      </c>
      <c r="F119" s="19">
        <v>44562</v>
      </c>
      <c r="G119" s="19">
        <v>44593</v>
      </c>
      <c r="H119" s="19">
        <v>44621</v>
      </c>
      <c r="I119" s="19">
        <v>44652</v>
      </c>
      <c r="J119" s="19">
        <v>44682</v>
      </c>
      <c r="K119" s="19">
        <v>44713</v>
      </c>
      <c r="L119" s="19">
        <v>44743</v>
      </c>
      <c r="M119" s="19">
        <v>44774</v>
      </c>
      <c r="N119" s="19">
        <v>44805</v>
      </c>
      <c r="O119" s="19">
        <v>44835</v>
      </c>
      <c r="P119" s="16"/>
    </row>
    <row r="120" ht="15.35" customHeight="1">
      <c r="A120" t="s" s="20">
        <v>125</v>
      </c>
      <c r="B120" s="39"/>
      <c r="C120" s="96"/>
      <c r="D120" s="23">
        <v>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44"/>
      <c r="P120" s="25"/>
    </row>
    <row r="121" ht="15.35" customHeight="1">
      <c r="A121" t="s" s="20">
        <v>126</v>
      </c>
      <c r="B121" s="39"/>
      <c r="C121" s="96"/>
      <c r="D121" s="23" cm="1">
        <f t="array" ref="D121">SUM(D118)</f>
        <v>0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44"/>
      <c r="P121" s="25"/>
    </row>
    <row r="122" ht="16.5" customHeight="1">
      <c r="A122" t="s" s="20">
        <v>127</v>
      </c>
      <c r="B122" s="39"/>
      <c r="C122" s="96"/>
      <c r="D122" s="27" cm="1">
        <f t="array" ref="D122">SUM(D119)</f>
        <v>0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44"/>
      <c r="P122" s="25"/>
    </row>
    <row r="123" ht="19.5" customHeight="1">
      <c r="A123" s="108"/>
      <c r="B123" s="109"/>
      <c r="C123" s="110"/>
      <c r="D123" s="111" cm="1">
        <f t="array" ref="D123">SUM(D120)</f>
        <v>0</v>
      </c>
      <c r="E123" s="112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"/>
    </row>
    <row r="124" ht="16.5" customHeight="1">
      <c r="A124" s="10"/>
      <c r="B124" s="113"/>
      <c r="C124" s="113"/>
      <c r="D124" s="114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0"/>
    </row>
    <row r="125" ht="21.75" customHeight="1">
      <c r="A125" s="116"/>
      <c r="B125" t="s" s="117">
        <v>128</v>
      </c>
      <c r="C125" s="118"/>
      <c r="D125" s="119" cm="1">
        <f t="array" ref="D125">D123+D117+D108+D103+D96+D88+D83+D72+D51+D40+D21+D15+D7</f>
        <v>1505075</v>
      </c>
      <c r="E125" s="120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0"/>
    </row>
  </sheetData>
  <mergeCells count="2">
    <mergeCell ref="A1:N1"/>
    <mergeCell ref="B125:C12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P125"/>
  <sheetViews>
    <sheetView workbookViewId="0" showGridLines="0" defaultGridColor="1"/>
  </sheetViews>
  <sheetFormatPr defaultColWidth="8.83333" defaultRowHeight="15.75" customHeight="1" outlineLevelRow="0" outlineLevelCol="0"/>
  <cols>
    <col min="1" max="1" width="62.1719" style="121" customWidth="1"/>
    <col min="2" max="2" width="10.8516" style="121" customWidth="1"/>
    <col min="3" max="3" width="16.6719" style="121" customWidth="1"/>
    <col min="4" max="4" width="23.6719" style="121" customWidth="1"/>
    <col min="5" max="5" width="8" style="121" customWidth="1"/>
    <col min="6" max="7" width="7.67188" style="121" customWidth="1"/>
    <col min="8" max="8" width="8.5" style="121" customWidth="1"/>
    <col min="9" max="9" width="7.85156" style="121" customWidth="1"/>
    <col min="10" max="10" width="8" style="121" customWidth="1"/>
    <col min="11" max="11" width="7.85156" style="121" customWidth="1"/>
    <col min="12" max="12" width="7.67188" style="121" customWidth="1"/>
    <col min="13" max="14" width="9.35156" style="121" customWidth="1"/>
    <col min="15" max="15" width="11" style="121" customWidth="1"/>
    <col min="16" max="16" width="102.5" style="121" customWidth="1"/>
    <col min="17" max="16384" width="8.85156" style="121" customWidth="1"/>
  </cols>
  <sheetData>
    <row r="1" ht="15.35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</row>
    <row r="2" ht="15.35" customHeight="1">
      <c r="A2" s="11"/>
      <c r="B2" s="12"/>
      <c r="C2" s="12"/>
      <c r="D2" s="13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t="s" s="15">
        <v>7</v>
      </c>
      <c r="P2" s="16"/>
    </row>
    <row r="3" ht="15.35" customHeight="1">
      <c r="A3" t="s" s="17">
        <v>8</v>
      </c>
      <c r="B3" t="s" s="18">
        <v>9</v>
      </c>
      <c r="C3" t="s" s="18">
        <v>10</v>
      </c>
      <c r="D3" t="s" s="18">
        <v>11</v>
      </c>
      <c r="E3" s="19">
        <v>44531</v>
      </c>
      <c r="F3" s="19">
        <v>44562</v>
      </c>
      <c r="G3" s="19">
        <v>44593</v>
      </c>
      <c r="H3" s="19">
        <v>44621</v>
      </c>
      <c r="I3" s="19">
        <v>44652</v>
      </c>
      <c r="J3" s="19">
        <v>44682</v>
      </c>
      <c r="K3" s="19">
        <v>44713</v>
      </c>
      <c r="L3" s="19">
        <v>44743</v>
      </c>
      <c r="M3" s="19">
        <v>44774</v>
      </c>
      <c r="N3" s="19">
        <v>44805</v>
      </c>
      <c r="O3" s="19">
        <v>44835</v>
      </c>
      <c r="P3" s="16"/>
    </row>
    <row r="4" ht="15.35" customHeight="1">
      <c r="A4" t="s" s="20">
        <v>12</v>
      </c>
      <c r="B4" s="21">
        <v>1</v>
      </c>
      <c r="C4" s="22">
        <v>25000</v>
      </c>
      <c r="D4" s="23">
        <v>22500</v>
      </c>
      <c r="E4" s="24"/>
      <c r="F4" s="24">
        <v>12500</v>
      </c>
      <c r="G4" s="24">
        <v>12500</v>
      </c>
      <c r="H4" s="24"/>
      <c r="I4" s="24"/>
      <c r="J4" s="24"/>
      <c r="K4" s="24"/>
      <c r="L4" s="24"/>
      <c r="M4" s="24"/>
      <c r="N4" s="24"/>
      <c r="O4" s="24"/>
      <c r="P4" s="25"/>
    </row>
    <row r="5" ht="15.35" customHeight="1">
      <c r="A5" t="s" s="20">
        <v>13</v>
      </c>
      <c r="B5" s="21">
        <v>1</v>
      </c>
      <c r="C5" s="22">
        <v>30000</v>
      </c>
      <c r="D5" s="23">
        <v>22500</v>
      </c>
      <c r="E5" s="24">
        <v>3000</v>
      </c>
      <c r="F5" s="24">
        <v>3000</v>
      </c>
      <c r="G5" s="24">
        <v>3000</v>
      </c>
      <c r="H5" s="24">
        <v>3000</v>
      </c>
      <c r="I5" s="24">
        <v>3000</v>
      </c>
      <c r="J5" s="24">
        <v>3000</v>
      </c>
      <c r="K5" s="24">
        <v>3000</v>
      </c>
      <c r="L5" s="24">
        <v>3000</v>
      </c>
      <c r="M5" s="24">
        <v>3000</v>
      </c>
      <c r="N5" s="24">
        <v>3000</v>
      </c>
      <c r="O5" s="26"/>
      <c r="P5" s="25"/>
    </row>
    <row r="6" ht="16.5" customHeight="1">
      <c r="A6" t="s" s="20">
        <v>14</v>
      </c>
      <c r="B6" s="21">
        <v>45</v>
      </c>
      <c r="C6" s="22">
        <v>500</v>
      </c>
      <c r="D6" s="27">
        <v>22500</v>
      </c>
      <c r="E6" s="28">
        <v>2000</v>
      </c>
      <c r="F6" s="28">
        <v>2000</v>
      </c>
      <c r="G6" s="28">
        <v>2000</v>
      </c>
      <c r="H6" s="28">
        <v>2000</v>
      </c>
      <c r="I6" s="28">
        <v>2000</v>
      </c>
      <c r="J6" s="28">
        <v>2000</v>
      </c>
      <c r="K6" s="28">
        <v>2000</v>
      </c>
      <c r="L6" s="28">
        <v>2000</v>
      </c>
      <c r="M6" s="28">
        <v>2000</v>
      </c>
      <c r="N6" s="28">
        <v>2000</v>
      </c>
      <c r="O6" s="29"/>
      <c r="P6" t="s" s="30">
        <v>15</v>
      </c>
    </row>
    <row r="7" ht="19.5" customHeight="1">
      <c r="A7" s="31"/>
      <c r="B7" s="32"/>
      <c r="C7" s="33"/>
      <c r="D7" s="34" cm="1">
        <f t="array" ref="D7">SUM(D4:D6)</f>
        <v>67500</v>
      </c>
      <c r="E7" s="35">
        <v>1</v>
      </c>
      <c r="F7" s="36">
        <v>2</v>
      </c>
      <c r="G7" s="36">
        <v>3</v>
      </c>
      <c r="H7" s="36">
        <v>4</v>
      </c>
      <c r="I7" s="36">
        <v>5</v>
      </c>
      <c r="J7" s="36">
        <v>6</v>
      </c>
      <c r="K7" s="36">
        <v>7</v>
      </c>
      <c r="L7" s="36">
        <v>8</v>
      </c>
      <c r="M7" s="36">
        <v>9</v>
      </c>
      <c r="N7" s="36">
        <v>10</v>
      </c>
      <c r="O7" t="s" s="37">
        <v>7</v>
      </c>
      <c r="P7" s="16"/>
    </row>
    <row r="8" ht="15.85" customHeight="1">
      <c r="A8" t="s" s="17">
        <v>16</v>
      </c>
      <c r="B8" t="s" s="18">
        <v>9</v>
      </c>
      <c r="C8" t="s" s="18">
        <v>10</v>
      </c>
      <c r="D8" t="s" s="38">
        <v>11</v>
      </c>
      <c r="E8" s="19">
        <v>44531</v>
      </c>
      <c r="F8" s="19">
        <v>44562</v>
      </c>
      <c r="G8" s="19">
        <v>44593</v>
      </c>
      <c r="H8" s="19">
        <v>44621</v>
      </c>
      <c r="I8" s="19">
        <v>44652</v>
      </c>
      <c r="J8" s="19">
        <v>44682</v>
      </c>
      <c r="K8" s="19">
        <v>44713</v>
      </c>
      <c r="L8" s="19">
        <v>44743</v>
      </c>
      <c r="M8" s="19">
        <v>44774</v>
      </c>
      <c r="N8" s="19">
        <v>44805</v>
      </c>
      <c r="O8" s="19">
        <v>44835</v>
      </c>
      <c r="P8" s="16"/>
    </row>
    <row r="9" ht="15.35" customHeight="1">
      <c r="A9" t="s" s="20">
        <v>17</v>
      </c>
      <c r="B9" s="21">
        <v>45</v>
      </c>
      <c r="C9" s="22">
        <v>1000</v>
      </c>
      <c r="D9" s="23">
        <v>45000</v>
      </c>
      <c r="E9" s="39"/>
      <c r="F9" s="39"/>
      <c r="G9" s="39"/>
      <c r="H9" s="39"/>
      <c r="I9" s="28">
        <v>5</v>
      </c>
      <c r="J9" s="28">
        <v>5</v>
      </c>
      <c r="K9" s="28">
        <v>5</v>
      </c>
      <c r="L9" s="40">
        <v>10</v>
      </c>
      <c r="M9" s="40">
        <v>10</v>
      </c>
      <c r="N9" s="40">
        <v>10</v>
      </c>
      <c r="O9" s="26"/>
      <c r="P9" s="25"/>
    </row>
    <row r="10" ht="15.35" customHeight="1">
      <c r="A10" t="s" s="20">
        <v>18</v>
      </c>
      <c r="B10" s="21">
        <v>120</v>
      </c>
      <c r="C10" t="s" s="41">
        <v>19</v>
      </c>
      <c r="D10" s="23">
        <v>0</v>
      </c>
      <c r="E10" s="28">
        <v>31</v>
      </c>
      <c r="F10" s="28">
        <v>30</v>
      </c>
      <c r="G10" s="28">
        <v>28</v>
      </c>
      <c r="H10" s="28">
        <v>31</v>
      </c>
      <c r="I10" s="28">
        <v>30</v>
      </c>
      <c r="J10" s="28">
        <v>31</v>
      </c>
      <c r="K10" s="28">
        <v>30</v>
      </c>
      <c r="L10" s="28">
        <v>31</v>
      </c>
      <c r="M10" s="28">
        <v>30</v>
      </c>
      <c r="N10" s="28">
        <v>31</v>
      </c>
      <c r="O10" s="42"/>
      <c r="P10" s="25"/>
    </row>
    <row r="11" ht="15.35" customHeight="1">
      <c r="A11" t="s" s="20">
        <v>20</v>
      </c>
      <c r="B11" s="21">
        <v>44</v>
      </c>
      <c r="C11" s="22">
        <v>500</v>
      </c>
      <c r="D11" s="23">
        <v>22000</v>
      </c>
      <c r="E11" s="40">
        <v>2500</v>
      </c>
      <c r="F11" s="40">
        <v>2500</v>
      </c>
      <c r="G11" s="40">
        <v>2500</v>
      </c>
      <c r="H11" s="40">
        <v>2500</v>
      </c>
      <c r="I11" s="40">
        <v>2500</v>
      </c>
      <c r="J11" s="40">
        <v>2500</v>
      </c>
      <c r="K11" s="40">
        <v>2500</v>
      </c>
      <c r="L11" s="40">
        <v>2500</v>
      </c>
      <c r="M11" s="40">
        <v>2500</v>
      </c>
      <c r="N11" s="40">
        <v>2500</v>
      </c>
      <c r="O11" s="42"/>
      <c r="P11" t="s" s="30">
        <v>21</v>
      </c>
    </row>
    <row r="12" ht="15.35" customHeight="1">
      <c r="A12" t="s" s="20">
        <v>22</v>
      </c>
      <c r="B12" s="21">
        <v>330</v>
      </c>
      <c r="C12" s="22"/>
      <c r="D12" s="23">
        <v>21000</v>
      </c>
      <c r="E12" s="40">
        <v>1000</v>
      </c>
      <c r="F12" s="40">
        <v>1000</v>
      </c>
      <c r="G12" s="40">
        <v>1500</v>
      </c>
      <c r="H12" s="40">
        <v>2500</v>
      </c>
      <c r="I12" s="40">
        <v>2500</v>
      </c>
      <c r="J12" s="40">
        <v>2500</v>
      </c>
      <c r="K12" s="40">
        <v>2500</v>
      </c>
      <c r="L12" s="40">
        <v>2500</v>
      </c>
      <c r="M12" s="40">
        <v>2500</v>
      </c>
      <c r="N12" s="40">
        <v>2500</v>
      </c>
      <c r="O12" s="42"/>
      <c r="P12" t="s" s="30">
        <v>23</v>
      </c>
    </row>
    <row r="13" ht="15.35" customHeight="1">
      <c r="A13" t="s" s="20">
        <v>24</v>
      </c>
      <c r="B13" s="43">
        <v>200000</v>
      </c>
      <c r="C13" s="22"/>
      <c r="D13" s="23">
        <v>20000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t="s" s="30">
        <v>25</v>
      </c>
    </row>
    <row r="14" ht="16.5" customHeight="1">
      <c r="A14" t="s" s="20">
        <v>26</v>
      </c>
      <c r="B14" s="43">
        <v>100000</v>
      </c>
      <c r="C14" s="22"/>
      <c r="D14" s="27">
        <v>25000</v>
      </c>
      <c r="E14" s="40"/>
      <c r="F14" s="40"/>
      <c r="G14" s="40"/>
      <c r="H14" s="40"/>
      <c r="I14" s="40">
        <v>30000</v>
      </c>
      <c r="J14" s="40">
        <v>50000</v>
      </c>
      <c r="K14" s="40">
        <v>50000</v>
      </c>
      <c r="L14" s="40">
        <v>50000</v>
      </c>
      <c r="M14" s="40">
        <v>50000</v>
      </c>
      <c r="N14" s="40">
        <v>50000</v>
      </c>
      <c r="O14" s="29"/>
      <c r="P14" t="s" s="45">
        <v>27</v>
      </c>
    </row>
    <row r="15" ht="19.5" customHeight="1">
      <c r="A15" s="46"/>
      <c r="B15" s="47"/>
      <c r="C15" s="48"/>
      <c r="D15" s="34" cm="1">
        <f t="array" ref="D15">SUM(D9:D14)</f>
        <v>133000</v>
      </c>
      <c r="E15" s="35">
        <v>1</v>
      </c>
      <c r="F15" s="36">
        <v>2</v>
      </c>
      <c r="G15" s="36">
        <v>3</v>
      </c>
      <c r="H15" s="36">
        <v>4</v>
      </c>
      <c r="I15" s="36">
        <v>5</v>
      </c>
      <c r="J15" s="36">
        <v>6</v>
      </c>
      <c r="K15" s="36">
        <v>7</v>
      </c>
      <c r="L15" s="36">
        <v>8</v>
      </c>
      <c r="M15" s="36">
        <v>9</v>
      </c>
      <c r="N15" s="36">
        <v>10</v>
      </c>
      <c r="O15" t="s" s="37">
        <v>7</v>
      </c>
      <c r="P15" s="49"/>
    </row>
    <row r="16" ht="15.85" customHeight="1">
      <c r="A16" t="s" s="17">
        <v>28</v>
      </c>
      <c r="B16" t="s" s="18">
        <v>9</v>
      </c>
      <c r="C16" t="s" s="18">
        <v>10</v>
      </c>
      <c r="D16" t="s" s="38">
        <v>11</v>
      </c>
      <c r="E16" s="19">
        <v>44531</v>
      </c>
      <c r="F16" s="19">
        <v>44562</v>
      </c>
      <c r="G16" s="19">
        <v>44593</v>
      </c>
      <c r="H16" s="19">
        <v>44621</v>
      </c>
      <c r="I16" s="19">
        <v>44652</v>
      </c>
      <c r="J16" s="19">
        <v>44682</v>
      </c>
      <c r="K16" s="19">
        <v>44713</v>
      </c>
      <c r="L16" s="19">
        <v>44743</v>
      </c>
      <c r="M16" s="19">
        <v>44774</v>
      </c>
      <c r="N16" s="19">
        <v>44805</v>
      </c>
      <c r="O16" s="19">
        <v>44835</v>
      </c>
      <c r="P16" s="50"/>
    </row>
    <row r="17" ht="15.35" customHeight="1">
      <c r="A17" t="s" s="20">
        <v>29</v>
      </c>
      <c r="B17" s="21">
        <v>1</v>
      </c>
      <c r="C17" s="22">
        <v>15000</v>
      </c>
      <c r="D17" s="22">
        <v>15000</v>
      </c>
      <c r="E17" s="44"/>
      <c r="F17" s="44"/>
      <c r="G17" s="44"/>
      <c r="H17" s="39"/>
      <c r="I17" s="39"/>
      <c r="J17" s="39"/>
      <c r="K17" s="39"/>
      <c r="L17" s="39"/>
      <c r="M17" s="39"/>
      <c r="N17" s="39"/>
      <c r="O17" s="26"/>
      <c r="P17" s="25"/>
    </row>
    <row r="18" ht="15.35" customHeight="1">
      <c r="A18" t="s" s="20">
        <v>30</v>
      </c>
      <c r="B18" s="51"/>
      <c r="C18" s="22"/>
      <c r="D18" s="22"/>
      <c r="E18" s="44"/>
      <c r="F18" s="39"/>
      <c r="G18" s="39"/>
      <c r="H18" s="44"/>
      <c r="I18" s="39"/>
      <c r="J18" s="39"/>
      <c r="K18" s="44"/>
      <c r="L18" s="39"/>
      <c r="M18" s="44"/>
      <c r="N18" s="44"/>
      <c r="O18" s="42"/>
      <c r="P18" s="25"/>
    </row>
    <row r="19" ht="15.35" customHeight="1">
      <c r="A19" t="s" s="20">
        <v>31</v>
      </c>
      <c r="B19" s="51"/>
      <c r="C19" s="22"/>
      <c r="D19" s="22"/>
      <c r="E19" s="39"/>
      <c r="F19" s="39"/>
      <c r="G19" s="39"/>
      <c r="H19" s="44"/>
      <c r="I19" s="44"/>
      <c r="J19" s="44"/>
      <c r="K19" s="44"/>
      <c r="L19" s="44"/>
      <c r="M19" s="44"/>
      <c r="N19" s="44"/>
      <c r="O19" s="42"/>
      <c r="P19" s="25"/>
    </row>
    <row r="20" ht="16.5" customHeight="1">
      <c r="A20" t="s" s="20">
        <v>32</v>
      </c>
      <c r="B20" s="51"/>
      <c r="C20" s="22"/>
      <c r="D20" s="52"/>
      <c r="E20" s="39"/>
      <c r="F20" s="39"/>
      <c r="G20" s="39"/>
      <c r="H20" s="39"/>
      <c r="I20" s="39"/>
      <c r="J20" s="39"/>
      <c r="K20" s="39"/>
      <c r="L20" s="39"/>
      <c r="M20" s="44"/>
      <c r="N20" s="44"/>
      <c r="O20" s="29"/>
      <c r="P20" s="25"/>
    </row>
    <row r="21" ht="19.5" customHeight="1">
      <c r="A21" s="31"/>
      <c r="B21" s="32"/>
      <c r="C21" s="33"/>
      <c r="D21" s="34" cm="1">
        <f t="array" ref="D21">SUM(D17:D20)</f>
        <v>15000</v>
      </c>
      <c r="E21" s="35">
        <v>1</v>
      </c>
      <c r="F21" s="36">
        <v>2</v>
      </c>
      <c r="G21" s="36">
        <v>3</v>
      </c>
      <c r="H21" s="36">
        <v>4</v>
      </c>
      <c r="I21" s="36">
        <v>5</v>
      </c>
      <c r="J21" s="36">
        <v>6</v>
      </c>
      <c r="K21" s="36">
        <v>7</v>
      </c>
      <c r="L21" s="36">
        <v>8</v>
      </c>
      <c r="M21" s="36">
        <v>9</v>
      </c>
      <c r="N21" s="36">
        <v>10</v>
      </c>
      <c r="O21" t="s" s="37">
        <v>7</v>
      </c>
      <c r="P21" s="16"/>
    </row>
    <row r="22" ht="15.85" customHeight="1">
      <c r="A22" t="s" s="17">
        <v>33</v>
      </c>
      <c r="B22" t="s" s="18">
        <v>9</v>
      </c>
      <c r="C22" t="s" s="18">
        <v>10</v>
      </c>
      <c r="D22" t="s" s="38">
        <v>34</v>
      </c>
      <c r="E22" s="19">
        <v>44531</v>
      </c>
      <c r="F22" s="19">
        <v>44562</v>
      </c>
      <c r="G22" s="19">
        <v>44593</v>
      </c>
      <c r="H22" s="19">
        <v>44621</v>
      </c>
      <c r="I22" s="19">
        <v>44652</v>
      </c>
      <c r="J22" s="19">
        <v>44682</v>
      </c>
      <c r="K22" s="19">
        <v>44713</v>
      </c>
      <c r="L22" s="19">
        <v>44743</v>
      </c>
      <c r="M22" s="19">
        <v>44774</v>
      </c>
      <c r="N22" s="19">
        <v>44805</v>
      </c>
      <c r="O22" s="19">
        <v>44835</v>
      </c>
      <c r="P22" s="16"/>
    </row>
    <row r="23" ht="16.5" customHeight="1">
      <c r="A23" t="s" s="53">
        <v>35</v>
      </c>
      <c r="B23" s="54">
        <v>1</v>
      </c>
      <c r="C23" s="52">
        <v>1500</v>
      </c>
      <c r="D23" s="27">
        <v>3000</v>
      </c>
      <c r="E23" s="55"/>
      <c r="F23" s="55"/>
      <c r="G23" s="55"/>
      <c r="H23" s="55"/>
      <c r="I23" s="55"/>
      <c r="J23" s="55"/>
      <c r="K23" s="55"/>
      <c r="L23" s="55"/>
      <c r="M23" s="56"/>
      <c r="N23" s="56"/>
      <c r="O23" s="55"/>
      <c r="P23" s="25"/>
    </row>
    <row r="24" ht="15.85" customHeight="1">
      <c r="A24" t="s" s="57">
        <v>36</v>
      </c>
      <c r="B24" s="58"/>
      <c r="C24" s="59"/>
      <c r="D24" s="60"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3"/>
    </row>
    <row r="25" ht="15.35" customHeight="1">
      <c r="A25" t="s" s="64">
        <v>37</v>
      </c>
      <c r="B25" s="65">
        <v>60</v>
      </c>
      <c r="C25" s="66">
        <v>3000</v>
      </c>
      <c r="D25" s="23">
        <v>180000</v>
      </c>
      <c r="E25" s="67"/>
      <c r="F25" s="67"/>
      <c r="G25" s="65">
        <v>0</v>
      </c>
      <c r="H25" s="65">
        <v>0</v>
      </c>
      <c r="I25" s="65">
        <v>10</v>
      </c>
      <c r="J25" s="65">
        <v>10</v>
      </c>
      <c r="K25" s="65">
        <v>10</v>
      </c>
      <c r="L25" s="65">
        <v>10</v>
      </c>
      <c r="M25" s="65">
        <v>10</v>
      </c>
      <c r="N25" s="65">
        <v>10</v>
      </c>
      <c r="O25" s="68"/>
      <c r="P25" t="s" s="69">
        <v>38</v>
      </c>
    </row>
    <row r="26" ht="15.35" customHeight="1">
      <c r="A26" t="s" s="64">
        <v>39</v>
      </c>
      <c r="B26" s="65">
        <v>60</v>
      </c>
      <c r="C26" s="66">
        <v>2000</v>
      </c>
      <c r="D26" s="23">
        <v>120000</v>
      </c>
      <c r="E26" s="67"/>
      <c r="F26" s="67"/>
      <c r="G26" s="67"/>
      <c r="H26" s="67"/>
      <c r="I26" s="65">
        <v>10</v>
      </c>
      <c r="J26" s="65">
        <v>10</v>
      </c>
      <c r="K26" s="65">
        <v>10</v>
      </c>
      <c r="L26" s="65">
        <v>10</v>
      </c>
      <c r="M26" s="65">
        <v>10</v>
      </c>
      <c r="N26" s="65">
        <v>10</v>
      </c>
      <c r="O26" s="70"/>
      <c r="P26" t="s" s="69">
        <v>40</v>
      </c>
    </row>
    <row r="27" ht="16.5" customHeight="1">
      <c r="A27" t="s" s="71">
        <v>41</v>
      </c>
      <c r="B27" s="72">
        <v>700</v>
      </c>
      <c r="C27" s="73">
        <v>700</v>
      </c>
      <c r="D27" s="27">
        <v>490000</v>
      </c>
      <c r="E27" s="72">
        <v>10</v>
      </c>
      <c r="F27" s="72">
        <v>10</v>
      </c>
      <c r="G27" s="72">
        <v>10</v>
      </c>
      <c r="H27" s="72">
        <v>10</v>
      </c>
      <c r="I27" s="72">
        <v>20</v>
      </c>
      <c r="J27" s="72">
        <v>20</v>
      </c>
      <c r="K27" s="72">
        <v>20</v>
      </c>
      <c r="L27" s="72">
        <v>200</v>
      </c>
      <c r="M27" s="72">
        <v>200</v>
      </c>
      <c r="N27" s="72">
        <v>200</v>
      </c>
      <c r="O27" s="74">
        <v>100</v>
      </c>
      <c r="P27" s="63"/>
    </row>
    <row r="28" ht="15.85" customHeight="1">
      <c r="A28" t="s" s="75">
        <v>42</v>
      </c>
      <c r="B28" s="76">
        <v>360</v>
      </c>
      <c r="C28" s="59">
        <v>25</v>
      </c>
      <c r="D28" s="60">
        <v>9000</v>
      </c>
      <c r="E28" s="61"/>
      <c r="F28" s="61"/>
      <c r="G28" s="61"/>
      <c r="H28" s="61"/>
      <c r="I28" s="77">
        <v>20</v>
      </c>
      <c r="J28" s="77">
        <v>20</v>
      </c>
      <c r="K28" s="77">
        <v>20</v>
      </c>
      <c r="L28" s="77">
        <v>100</v>
      </c>
      <c r="M28" s="77">
        <v>100</v>
      </c>
      <c r="N28" s="77">
        <v>100</v>
      </c>
      <c r="O28" s="78"/>
      <c r="P28" s="25"/>
    </row>
    <row r="29" ht="15.35" customHeight="1">
      <c r="A29" t="s" s="20">
        <v>43</v>
      </c>
      <c r="B29" s="21">
        <v>27</v>
      </c>
      <c r="C29" s="22">
        <v>25</v>
      </c>
      <c r="D29" s="23">
        <v>675</v>
      </c>
      <c r="E29" s="39"/>
      <c r="F29" s="28">
        <v>2</v>
      </c>
      <c r="G29" s="28">
        <v>2</v>
      </c>
      <c r="H29" s="28">
        <v>2</v>
      </c>
      <c r="I29" s="28">
        <v>2</v>
      </c>
      <c r="J29" s="28">
        <v>2</v>
      </c>
      <c r="K29" s="28">
        <v>2</v>
      </c>
      <c r="L29" s="28">
        <v>5</v>
      </c>
      <c r="M29" s="28">
        <v>5</v>
      </c>
      <c r="N29" s="28">
        <v>5</v>
      </c>
      <c r="O29" s="79">
        <v>5</v>
      </c>
      <c r="P29" s="25"/>
    </row>
    <row r="30" ht="15.35" customHeight="1">
      <c r="A30" t="s" s="20">
        <v>44</v>
      </c>
      <c r="B30" s="21">
        <v>8</v>
      </c>
      <c r="C30" s="22">
        <v>4000</v>
      </c>
      <c r="D30" s="23">
        <v>32000</v>
      </c>
      <c r="E30" s="39"/>
      <c r="F30" s="39"/>
      <c r="G30" s="39"/>
      <c r="H30" s="39"/>
      <c r="I30" s="39"/>
      <c r="J30" s="39"/>
      <c r="K30" s="39"/>
      <c r="L30" s="39"/>
      <c r="M30" s="28">
        <v>8</v>
      </c>
      <c r="N30" s="28">
        <v>8</v>
      </c>
      <c r="O30" s="80"/>
      <c r="P30" s="25"/>
    </row>
    <row r="31" ht="15.35" customHeight="1">
      <c r="A31" t="s" s="20">
        <v>45</v>
      </c>
      <c r="B31" s="21">
        <v>7</v>
      </c>
      <c r="C31" s="22">
        <v>6000</v>
      </c>
      <c r="D31" s="23">
        <v>24000</v>
      </c>
      <c r="E31" s="39"/>
      <c r="F31" s="39"/>
      <c r="G31" s="39"/>
      <c r="H31" s="39"/>
      <c r="I31" s="39"/>
      <c r="J31" s="28">
        <v>1</v>
      </c>
      <c r="K31" s="28">
        <v>1</v>
      </c>
      <c r="L31" s="28">
        <v>1</v>
      </c>
      <c r="M31" s="28">
        <v>2</v>
      </c>
      <c r="N31" s="28">
        <v>2</v>
      </c>
      <c r="O31" s="80"/>
      <c r="P31" s="25"/>
    </row>
    <row r="32" ht="15.35" customHeight="1">
      <c r="A32" t="s" s="20">
        <v>46</v>
      </c>
      <c r="B32" t="s" s="41">
        <v>47</v>
      </c>
      <c r="C32" s="22"/>
      <c r="D32" s="23"/>
      <c r="E32" s="39"/>
      <c r="F32" s="39"/>
      <c r="G32" s="39"/>
      <c r="H32" s="39"/>
      <c r="I32" s="39"/>
      <c r="J32" s="39"/>
      <c r="K32" s="39"/>
      <c r="L32" s="44"/>
      <c r="M32" s="44"/>
      <c r="N32" s="44"/>
      <c r="O32" s="80"/>
      <c r="P32" t="s" s="30">
        <v>48</v>
      </c>
    </row>
    <row r="33" ht="15.35" customHeight="1">
      <c r="A33" t="s" s="20">
        <v>49</v>
      </c>
      <c r="B33" s="21">
        <v>200</v>
      </c>
      <c r="C33" s="22">
        <v>25</v>
      </c>
      <c r="D33" s="23">
        <v>5000</v>
      </c>
      <c r="E33" s="39"/>
      <c r="F33" s="39"/>
      <c r="G33" s="39"/>
      <c r="H33" s="39"/>
      <c r="I33" s="39"/>
      <c r="J33" s="39"/>
      <c r="K33" s="39"/>
      <c r="L33" s="39"/>
      <c r="M33" s="44"/>
      <c r="N33" s="44"/>
      <c r="O33" s="80"/>
      <c r="P33" s="25"/>
    </row>
    <row r="34" ht="15.35" customHeight="1">
      <c r="A34" t="s" s="20">
        <v>50</v>
      </c>
      <c r="B34" s="21">
        <v>5</v>
      </c>
      <c r="C34" s="22"/>
      <c r="D34" s="23"/>
      <c r="E34" s="39"/>
      <c r="F34" s="39"/>
      <c r="G34" s="39"/>
      <c r="H34" s="39"/>
      <c r="I34" s="39"/>
      <c r="J34" s="39"/>
      <c r="K34" s="44"/>
      <c r="L34" s="44"/>
      <c r="M34" s="44"/>
      <c r="N34" s="44"/>
      <c r="O34" s="26"/>
      <c r="P34" t="s" s="30">
        <v>51</v>
      </c>
    </row>
    <row r="35" ht="15.35" customHeight="1">
      <c r="A35" t="s" s="20">
        <v>52</v>
      </c>
      <c r="B35" s="21">
        <v>6</v>
      </c>
      <c r="C35" s="22">
        <v>3500</v>
      </c>
      <c r="D35" s="23"/>
      <c r="E35" s="39"/>
      <c r="F35" s="39"/>
      <c r="G35" s="39"/>
      <c r="H35" s="39"/>
      <c r="I35" s="39"/>
      <c r="J35" s="39"/>
      <c r="K35" s="39"/>
      <c r="L35" s="39"/>
      <c r="M35" s="39"/>
      <c r="N35" s="44"/>
      <c r="O35" s="42"/>
      <c r="P35" s="25"/>
    </row>
    <row r="36" ht="15.35" customHeight="1">
      <c r="A36" t="s" s="20">
        <v>53</v>
      </c>
      <c r="B36" s="21">
        <v>1</v>
      </c>
      <c r="C36" s="22">
        <v>15000</v>
      </c>
      <c r="D36" s="23"/>
      <c r="E36" s="39"/>
      <c r="F36" s="39"/>
      <c r="G36" s="39"/>
      <c r="H36" s="39"/>
      <c r="I36" s="39"/>
      <c r="J36" s="39"/>
      <c r="K36" s="39"/>
      <c r="L36" s="39"/>
      <c r="M36" s="44"/>
      <c r="N36" s="44"/>
      <c r="O36" s="42"/>
      <c r="P36" s="25"/>
    </row>
    <row r="37" ht="15.35" customHeight="1">
      <c r="A37" t="s" s="20">
        <v>54</v>
      </c>
      <c r="B37" s="21">
        <v>4</v>
      </c>
      <c r="C37" s="22">
        <v>850</v>
      </c>
      <c r="D37" s="23">
        <v>3400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2"/>
      <c r="P37" s="25"/>
    </row>
    <row r="38" ht="15.35" customHeight="1">
      <c r="A38" t="s" s="20">
        <v>55</v>
      </c>
      <c r="B38" s="21">
        <v>2</v>
      </c>
      <c r="C38" s="22">
        <v>2000</v>
      </c>
      <c r="D38" s="23">
        <v>4000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2"/>
      <c r="P38" s="25"/>
    </row>
    <row r="39" ht="16.5" customHeight="1">
      <c r="A39" t="s" s="20">
        <v>56</v>
      </c>
      <c r="B39" s="21">
        <v>200</v>
      </c>
      <c r="C39" s="22">
        <v>15</v>
      </c>
      <c r="D39" s="27">
        <v>3000</v>
      </c>
      <c r="E39" s="39"/>
      <c r="F39" s="39"/>
      <c r="G39" s="39"/>
      <c r="H39" s="39"/>
      <c r="I39" s="39"/>
      <c r="J39" s="39"/>
      <c r="K39" s="39"/>
      <c r="L39" s="39"/>
      <c r="M39" s="39"/>
      <c r="N39" s="44"/>
      <c r="O39" s="29"/>
      <c r="P39" s="25"/>
    </row>
    <row r="40" ht="19.5" customHeight="1">
      <c r="A40" s="31"/>
      <c r="B40" s="32"/>
      <c r="C40" s="33"/>
      <c r="D40" s="34" cm="1">
        <f t="array" ref="D40">SUM(D23:D39)</f>
        <v>874075</v>
      </c>
      <c r="E40" s="35">
        <v>1</v>
      </c>
      <c r="F40" s="36">
        <v>2</v>
      </c>
      <c r="G40" s="36">
        <v>3</v>
      </c>
      <c r="H40" s="36">
        <v>4</v>
      </c>
      <c r="I40" s="36">
        <v>5</v>
      </c>
      <c r="J40" s="36">
        <v>6</v>
      </c>
      <c r="K40" s="36">
        <v>7</v>
      </c>
      <c r="L40" s="36">
        <v>8</v>
      </c>
      <c r="M40" s="36">
        <v>9</v>
      </c>
      <c r="N40" s="36">
        <v>10</v>
      </c>
      <c r="O40" t="s" s="37">
        <v>7</v>
      </c>
      <c r="P40" s="16"/>
    </row>
    <row r="41" ht="15.85" customHeight="1">
      <c r="A41" t="s" s="17">
        <v>57</v>
      </c>
      <c r="B41" t="s" s="18">
        <v>9</v>
      </c>
      <c r="C41" t="s" s="18">
        <v>10</v>
      </c>
      <c r="D41" t="s" s="38">
        <v>11</v>
      </c>
      <c r="E41" s="19">
        <v>44531</v>
      </c>
      <c r="F41" s="19">
        <v>44562</v>
      </c>
      <c r="G41" s="19">
        <v>44593</v>
      </c>
      <c r="H41" s="19">
        <v>44621</v>
      </c>
      <c r="I41" s="19">
        <v>44652</v>
      </c>
      <c r="J41" s="19">
        <v>44682</v>
      </c>
      <c r="K41" s="19">
        <v>44713</v>
      </c>
      <c r="L41" s="19">
        <v>44743</v>
      </c>
      <c r="M41" s="19">
        <v>44774</v>
      </c>
      <c r="N41" s="19">
        <v>44805</v>
      </c>
      <c r="O41" s="19">
        <v>44835</v>
      </c>
      <c r="P41" s="16"/>
    </row>
    <row r="42" ht="15.35" customHeight="1">
      <c r="A42" t="s" s="20">
        <v>58</v>
      </c>
      <c r="B42" s="43">
        <v>30000</v>
      </c>
      <c r="C42" s="22"/>
      <c r="D42" s="23"/>
      <c r="E42" s="39"/>
      <c r="F42" s="39"/>
      <c r="G42" s="39"/>
      <c r="H42" s="39"/>
      <c r="I42" s="39"/>
      <c r="J42" s="40">
        <v>10000</v>
      </c>
      <c r="K42" s="40">
        <v>10000</v>
      </c>
      <c r="L42" s="40">
        <v>10000</v>
      </c>
      <c r="M42" s="39"/>
      <c r="N42" s="39"/>
      <c r="O42" s="26"/>
      <c r="P42" t="s" s="30">
        <v>59</v>
      </c>
    </row>
    <row r="43" ht="15.35" customHeight="1">
      <c r="A43" t="s" s="20">
        <v>60</v>
      </c>
      <c r="B43" s="43">
        <v>50000</v>
      </c>
      <c r="C43" s="22"/>
      <c r="D43" s="23"/>
      <c r="E43" s="39"/>
      <c r="F43" s="39"/>
      <c r="G43" s="39"/>
      <c r="H43" s="39"/>
      <c r="I43" s="39"/>
      <c r="J43" s="39"/>
      <c r="K43" s="39"/>
      <c r="L43" s="39"/>
      <c r="M43" s="40">
        <v>30000</v>
      </c>
      <c r="N43" s="40">
        <v>300000</v>
      </c>
      <c r="O43" s="42"/>
      <c r="P43" t="s" s="30">
        <v>61</v>
      </c>
    </row>
    <row r="44" ht="15.35" customHeight="1">
      <c r="A44" t="s" s="20">
        <v>62</v>
      </c>
      <c r="B44" s="43">
        <v>250000</v>
      </c>
      <c r="C44" s="22"/>
      <c r="D44" s="23"/>
      <c r="E44" s="39"/>
      <c r="F44" s="39"/>
      <c r="G44" s="39"/>
      <c r="H44" s="39"/>
      <c r="I44" s="39"/>
      <c r="J44" s="39"/>
      <c r="K44" s="39"/>
      <c r="L44" s="39"/>
      <c r="M44" s="40">
        <v>125000</v>
      </c>
      <c r="N44" s="40">
        <v>125000</v>
      </c>
      <c r="O44" s="42"/>
      <c r="P44" s="25"/>
    </row>
    <row r="45" ht="15.35" customHeight="1">
      <c r="A45" t="s" s="20">
        <v>63</v>
      </c>
      <c r="B45" s="43">
        <v>20000</v>
      </c>
      <c r="C45" s="22"/>
      <c r="D45" s="23"/>
      <c r="E45" s="39"/>
      <c r="F45" s="39"/>
      <c r="G45" s="39"/>
      <c r="H45" s="39"/>
      <c r="I45" s="39"/>
      <c r="J45" s="39"/>
      <c r="K45" s="39"/>
      <c r="L45" s="39"/>
      <c r="M45" s="40">
        <v>10000</v>
      </c>
      <c r="N45" s="40">
        <v>10000</v>
      </c>
      <c r="O45" s="29"/>
      <c r="P45" s="25"/>
    </row>
    <row r="46" ht="15.35" customHeight="1">
      <c r="A46" t="s" s="20">
        <v>64</v>
      </c>
      <c r="B46" s="43">
        <v>500000</v>
      </c>
      <c r="C46" s="22"/>
      <c r="D46" s="23"/>
      <c r="E46" s="39"/>
      <c r="F46" s="39"/>
      <c r="G46" s="39"/>
      <c r="H46" s="39"/>
      <c r="I46" s="39"/>
      <c r="J46" s="39"/>
      <c r="K46" s="39"/>
      <c r="L46" s="39"/>
      <c r="M46" s="44"/>
      <c r="N46" s="44"/>
      <c r="O46" s="81"/>
      <c r="P46" s="25"/>
    </row>
    <row r="47" ht="15.35" customHeight="1">
      <c r="A47" t="s" s="20">
        <v>65</v>
      </c>
      <c r="B47" s="43">
        <v>2000</v>
      </c>
      <c r="C47" s="22"/>
      <c r="D47" s="23"/>
      <c r="E47" s="39"/>
      <c r="F47" s="39"/>
      <c r="G47" s="39"/>
      <c r="H47" s="39"/>
      <c r="I47" s="39"/>
      <c r="J47" s="39"/>
      <c r="K47" s="39"/>
      <c r="L47" s="39"/>
      <c r="M47" s="40">
        <v>1000</v>
      </c>
      <c r="N47" s="40">
        <v>1000</v>
      </c>
      <c r="O47" s="26"/>
      <c r="P47" t="s" s="30">
        <v>66</v>
      </c>
    </row>
    <row r="48" ht="15.35" customHeight="1">
      <c r="A48" t="s" s="20">
        <v>67</v>
      </c>
      <c r="B48" s="21">
        <v>100</v>
      </c>
      <c r="C48" s="22"/>
      <c r="D48" s="23"/>
      <c r="E48" s="39"/>
      <c r="F48" s="39"/>
      <c r="G48" s="39"/>
      <c r="H48" s="39"/>
      <c r="I48" s="39"/>
      <c r="J48" s="39"/>
      <c r="K48" s="39"/>
      <c r="L48" s="39"/>
      <c r="M48" s="44"/>
      <c r="N48" s="44"/>
      <c r="O48" s="42"/>
      <c r="P48" s="25"/>
    </row>
    <row r="49" ht="15.35" customHeight="1">
      <c r="A49" t="s" s="20">
        <v>68</v>
      </c>
      <c r="B49" s="43">
        <v>5000</v>
      </c>
      <c r="C49" s="22"/>
      <c r="D49" s="23"/>
      <c r="E49" s="39"/>
      <c r="F49" s="39"/>
      <c r="G49" s="39"/>
      <c r="H49" s="39"/>
      <c r="I49" s="39"/>
      <c r="J49" s="39"/>
      <c r="K49" s="39"/>
      <c r="L49" s="39"/>
      <c r="M49" s="44"/>
      <c r="N49" s="44"/>
      <c r="O49" s="42"/>
      <c r="P49" s="25"/>
    </row>
    <row r="50" ht="16.5" customHeight="1">
      <c r="A50" t="s" s="20">
        <v>69</v>
      </c>
      <c r="B50" s="43">
        <v>500</v>
      </c>
      <c r="C50" s="22"/>
      <c r="D50" s="27"/>
      <c r="E50" s="39"/>
      <c r="F50" s="39"/>
      <c r="G50" s="39"/>
      <c r="H50" s="39"/>
      <c r="I50" s="39"/>
      <c r="J50" s="39"/>
      <c r="K50" s="39"/>
      <c r="L50" s="39"/>
      <c r="M50" s="44"/>
      <c r="N50" s="44"/>
      <c r="O50" s="29"/>
      <c r="P50" s="25"/>
    </row>
    <row r="51" ht="19.5" customHeight="1">
      <c r="A51" s="31"/>
      <c r="B51" s="32"/>
      <c r="C51" s="33"/>
      <c r="D51" s="82">
        <v>50000</v>
      </c>
      <c r="E51" s="35">
        <v>1</v>
      </c>
      <c r="F51" s="36">
        <v>2</v>
      </c>
      <c r="G51" s="36">
        <v>3</v>
      </c>
      <c r="H51" s="36">
        <v>4</v>
      </c>
      <c r="I51" s="36">
        <v>5</v>
      </c>
      <c r="J51" s="36">
        <v>6</v>
      </c>
      <c r="K51" s="36">
        <v>7</v>
      </c>
      <c r="L51" s="36">
        <v>8</v>
      </c>
      <c r="M51" s="36">
        <v>9</v>
      </c>
      <c r="N51" s="36">
        <v>10</v>
      </c>
      <c r="O51" t="s" s="37">
        <v>7</v>
      </c>
      <c r="P51" s="16"/>
    </row>
    <row r="52" ht="15.85" customHeight="1">
      <c r="A52" t="s" s="17">
        <v>70</v>
      </c>
      <c r="B52" t="s" s="18">
        <v>9</v>
      </c>
      <c r="C52" t="s" s="18">
        <v>10</v>
      </c>
      <c r="D52" t="s" s="38">
        <v>11</v>
      </c>
      <c r="E52" s="19">
        <v>44531</v>
      </c>
      <c r="F52" s="19">
        <v>44562</v>
      </c>
      <c r="G52" s="19">
        <v>44593</v>
      </c>
      <c r="H52" s="19">
        <v>44621</v>
      </c>
      <c r="I52" s="19">
        <v>44652</v>
      </c>
      <c r="J52" s="19">
        <v>44682</v>
      </c>
      <c r="K52" s="19">
        <v>44713</v>
      </c>
      <c r="L52" s="19">
        <v>44743</v>
      </c>
      <c r="M52" s="19">
        <v>44774</v>
      </c>
      <c r="N52" s="19">
        <v>44805</v>
      </c>
      <c r="O52" s="19">
        <v>44835</v>
      </c>
      <c r="P52" s="16"/>
    </row>
    <row r="53" ht="15.35" customHeight="1">
      <c r="A53" t="s" s="20">
        <v>71</v>
      </c>
      <c r="B53" s="21">
        <v>55</v>
      </c>
      <c r="C53" s="22">
        <v>0</v>
      </c>
      <c r="D53" s="23"/>
      <c r="E53" s="83">
        <v>4</v>
      </c>
      <c r="F53" s="83">
        <v>4</v>
      </c>
      <c r="G53" s="83">
        <v>4</v>
      </c>
      <c r="H53" s="83">
        <v>4</v>
      </c>
      <c r="I53" s="83">
        <v>4</v>
      </c>
      <c r="J53" s="28">
        <v>16</v>
      </c>
      <c r="K53" s="28">
        <v>16</v>
      </c>
      <c r="L53" s="28">
        <v>16</v>
      </c>
      <c r="M53" s="28">
        <v>16</v>
      </c>
      <c r="N53" s="28">
        <v>16</v>
      </c>
      <c r="O53" s="39"/>
      <c r="P53" t="s" s="30">
        <v>72</v>
      </c>
    </row>
    <row r="54" ht="15.35" customHeight="1">
      <c r="A54" t="s" s="84">
        <v>73</v>
      </c>
      <c r="B54" s="85">
        <v>21</v>
      </c>
      <c r="C54" s="86">
        <v>1500</v>
      </c>
      <c r="D54" s="23" cm="1">
        <f t="array" ref="D54">B54*C54</f>
        <v>31500</v>
      </c>
      <c r="E54" s="85">
        <v>1</v>
      </c>
      <c r="F54" s="85">
        <v>1</v>
      </c>
      <c r="G54" s="85">
        <v>1</v>
      </c>
      <c r="H54" s="85">
        <v>1</v>
      </c>
      <c r="I54" s="85">
        <v>1</v>
      </c>
      <c r="J54" s="85">
        <v>4</v>
      </c>
      <c r="K54" s="85">
        <v>4</v>
      </c>
      <c r="L54" s="85">
        <v>4</v>
      </c>
      <c r="M54" s="85">
        <v>4</v>
      </c>
      <c r="N54" s="85">
        <v>4</v>
      </c>
      <c r="O54" s="39"/>
      <c r="P54" s="25"/>
    </row>
    <row r="55" ht="15.35" customHeight="1">
      <c r="A55" t="s" s="84">
        <v>74</v>
      </c>
      <c r="B55" s="85">
        <v>21</v>
      </c>
      <c r="C55" s="86">
        <v>1500</v>
      </c>
      <c r="D55" s="23" cm="1">
        <f t="array" ref="D55">B55*C55</f>
        <v>31500</v>
      </c>
      <c r="E55" s="85">
        <v>1</v>
      </c>
      <c r="F55" s="85">
        <v>1</v>
      </c>
      <c r="G55" s="85">
        <v>1</v>
      </c>
      <c r="H55" s="85">
        <v>1</v>
      </c>
      <c r="I55" s="85">
        <v>1</v>
      </c>
      <c r="J55" s="85">
        <v>4</v>
      </c>
      <c r="K55" s="85">
        <v>4</v>
      </c>
      <c r="L55" s="85">
        <v>4</v>
      </c>
      <c r="M55" s="85">
        <v>4</v>
      </c>
      <c r="N55" s="85">
        <v>4</v>
      </c>
      <c r="O55" s="39"/>
      <c r="P55" s="25"/>
    </row>
    <row r="56" ht="15.35" customHeight="1">
      <c r="A56" t="s" s="84">
        <v>75</v>
      </c>
      <c r="B56" s="85">
        <v>15</v>
      </c>
      <c r="C56" s="86">
        <v>1000</v>
      </c>
      <c r="D56" s="23" cm="1">
        <f t="array" ref="D56">B56*C56</f>
        <v>15000</v>
      </c>
      <c r="E56" s="85">
        <v>1</v>
      </c>
      <c r="F56" s="85">
        <v>1</v>
      </c>
      <c r="G56" s="85">
        <v>1</v>
      </c>
      <c r="H56" s="85">
        <v>1</v>
      </c>
      <c r="I56" s="85">
        <v>1</v>
      </c>
      <c r="J56" s="85">
        <v>4</v>
      </c>
      <c r="K56" s="85">
        <v>4</v>
      </c>
      <c r="L56" s="85">
        <v>4</v>
      </c>
      <c r="M56" s="85">
        <v>4</v>
      </c>
      <c r="N56" s="85">
        <v>4</v>
      </c>
      <c r="O56" s="39"/>
      <c r="P56" s="25"/>
    </row>
    <row r="57" ht="15.35" customHeight="1">
      <c r="A57" t="s" s="84">
        <v>76</v>
      </c>
      <c r="B57" s="85">
        <v>10</v>
      </c>
      <c r="C57" s="86">
        <v>500</v>
      </c>
      <c r="D57" s="23" cm="1">
        <f t="array" ref="D57">B57*C57</f>
        <v>5000</v>
      </c>
      <c r="E57" s="85">
        <v>1</v>
      </c>
      <c r="F57" s="85">
        <v>1</v>
      </c>
      <c r="G57" s="85">
        <v>1</v>
      </c>
      <c r="H57" s="85">
        <v>1</v>
      </c>
      <c r="I57" s="85">
        <v>1</v>
      </c>
      <c r="J57" s="85">
        <v>4</v>
      </c>
      <c r="K57" s="85">
        <v>4</v>
      </c>
      <c r="L57" s="85">
        <v>4</v>
      </c>
      <c r="M57" s="85">
        <v>4</v>
      </c>
      <c r="N57" s="85">
        <v>4</v>
      </c>
      <c r="O57" s="39"/>
      <c r="P57" s="25"/>
    </row>
    <row r="58" ht="15.35" customHeight="1">
      <c r="A58" t="s" s="20">
        <v>77</v>
      </c>
      <c r="B58" s="21">
        <v>55</v>
      </c>
      <c r="C58" s="22">
        <v>0</v>
      </c>
      <c r="D58" s="2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39"/>
      <c r="P58" t="s" s="30">
        <v>78</v>
      </c>
    </row>
    <row r="59" ht="15.35" customHeight="1">
      <c r="A59" t="s" s="84">
        <v>73</v>
      </c>
      <c r="B59" s="85">
        <v>21</v>
      </c>
      <c r="C59" s="86">
        <v>700</v>
      </c>
      <c r="D59" s="23" cm="1">
        <f t="array" ref="D59">B59*C59</f>
        <v>14700</v>
      </c>
      <c r="E59" s="85">
        <v>1</v>
      </c>
      <c r="F59" s="85">
        <v>1</v>
      </c>
      <c r="G59" s="85">
        <v>1</v>
      </c>
      <c r="H59" s="85">
        <v>1</v>
      </c>
      <c r="I59" s="85">
        <v>1</v>
      </c>
      <c r="J59" s="85">
        <v>4</v>
      </c>
      <c r="K59" s="85">
        <v>4</v>
      </c>
      <c r="L59" s="85">
        <v>4</v>
      </c>
      <c r="M59" s="85">
        <v>4</v>
      </c>
      <c r="N59" s="85">
        <v>4</v>
      </c>
      <c r="O59" s="39"/>
      <c r="P59" s="25"/>
    </row>
    <row r="60" ht="15.35" customHeight="1">
      <c r="A60" t="s" s="84">
        <v>75</v>
      </c>
      <c r="B60" s="85">
        <v>21</v>
      </c>
      <c r="C60" s="86">
        <v>700</v>
      </c>
      <c r="D60" s="23" cm="1">
        <f t="array" ref="D60">B60*C60</f>
        <v>14700</v>
      </c>
      <c r="E60" s="85">
        <v>1</v>
      </c>
      <c r="F60" s="85">
        <v>1</v>
      </c>
      <c r="G60" s="85">
        <v>1</v>
      </c>
      <c r="H60" s="85">
        <v>1</v>
      </c>
      <c r="I60" s="85">
        <v>1</v>
      </c>
      <c r="J60" s="85">
        <v>4</v>
      </c>
      <c r="K60" s="85">
        <v>4</v>
      </c>
      <c r="L60" s="85">
        <v>4</v>
      </c>
      <c r="M60" s="85">
        <v>4</v>
      </c>
      <c r="N60" s="85">
        <v>4</v>
      </c>
      <c r="O60" s="39"/>
      <c r="P60" s="25"/>
    </row>
    <row r="61" ht="15.35" customHeight="1">
      <c r="A61" t="s" s="84">
        <v>76</v>
      </c>
      <c r="B61" s="85">
        <v>10</v>
      </c>
      <c r="C61" s="86">
        <v>300</v>
      </c>
      <c r="D61" s="23" cm="1">
        <f t="array" ref="D61">B61*C61</f>
        <v>3000</v>
      </c>
      <c r="E61" s="87"/>
      <c r="F61" s="87"/>
      <c r="G61" s="87"/>
      <c r="H61" s="87"/>
      <c r="I61" s="87"/>
      <c r="J61" s="85">
        <v>1</v>
      </c>
      <c r="K61" s="85">
        <v>1</v>
      </c>
      <c r="L61" s="85">
        <v>1</v>
      </c>
      <c r="M61" s="85">
        <v>1</v>
      </c>
      <c r="N61" s="85">
        <v>1</v>
      </c>
      <c r="O61" s="39"/>
      <c r="P61" s="88"/>
    </row>
    <row r="62" ht="15.35" customHeight="1">
      <c r="A62" t="s" s="20">
        <v>79</v>
      </c>
      <c r="B62" s="89"/>
      <c r="C62" s="90"/>
      <c r="D62" s="91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2"/>
      <c r="P62" s="93"/>
    </row>
    <row r="63" ht="15.35" customHeight="1">
      <c r="A63" t="s" s="84">
        <v>80</v>
      </c>
      <c r="B63" s="87"/>
      <c r="C63" s="86"/>
      <c r="D63" s="23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9"/>
      <c r="P63" s="94"/>
    </row>
    <row r="64" ht="15.35" customHeight="1">
      <c r="A64" t="s" s="84">
        <v>81</v>
      </c>
      <c r="B64" s="87"/>
      <c r="C64" s="86"/>
      <c r="D64" s="23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9"/>
      <c r="P64" s="25"/>
    </row>
    <row r="65" ht="15.35" customHeight="1">
      <c r="A65" t="s" s="84">
        <v>82</v>
      </c>
      <c r="B65" s="87"/>
      <c r="C65" s="86"/>
      <c r="D65" s="23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9"/>
      <c r="P65" s="25"/>
    </row>
    <row r="66" ht="15.35" customHeight="1">
      <c r="A66" t="s" s="84">
        <v>83</v>
      </c>
      <c r="B66" s="87"/>
      <c r="C66" s="86"/>
      <c r="D66" s="23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9"/>
      <c r="P66" s="25"/>
    </row>
    <row r="67" ht="15.35" customHeight="1">
      <c r="A67" t="s" s="84">
        <v>84</v>
      </c>
      <c r="B67" s="87"/>
      <c r="C67" s="86"/>
      <c r="D67" s="23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39"/>
      <c r="P67" s="25"/>
    </row>
    <row r="68" ht="15.35" customHeight="1">
      <c r="A68" t="s" s="84">
        <v>85</v>
      </c>
      <c r="B68" s="87"/>
      <c r="C68" s="86"/>
      <c r="D68" s="23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9"/>
      <c r="P68" s="25"/>
    </row>
    <row r="69" ht="15.35" customHeight="1">
      <c r="A69" t="s" s="84">
        <v>86</v>
      </c>
      <c r="B69" s="87"/>
      <c r="C69" s="86"/>
      <c r="D69" s="23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39"/>
      <c r="P69" s="25"/>
    </row>
    <row r="70" ht="15.35" customHeight="1">
      <c r="A70" t="s" s="84">
        <v>87</v>
      </c>
      <c r="B70" s="87"/>
      <c r="C70" s="86"/>
      <c r="D70" s="23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39"/>
      <c r="P70" s="25"/>
    </row>
    <row r="71" ht="16.5" customHeight="1">
      <c r="A71" t="s" s="84">
        <v>88</v>
      </c>
      <c r="B71" s="87"/>
      <c r="C71" s="86"/>
      <c r="D71" s="2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9"/>
      <c r="P71" s="25"/>
    </row>
    <row r="72" ht="19.5" customHeight="1">
      <c r="A72" s="31"/>
      <c r="B72" s="32"/>
      <c r="C72" s="33"/>
      <c r="D72" s="34" cm="1">
        <f t="array" ref="D72">SUM(D53:D71)</f>
        <v>115400</v>
      </c>
      <c r="E72" s="35">
        <v>1</v>
      </c>
      <c r="F72" s="36">
        <v>2</v>
      </c>
      <c r="G72" s="36">
        <v>3</v>
      </c>
      <c r="H72" s="36">
        <v>4</v>
      </c>
      <c r="I72" s="36">
        <v>5</v>
      </c>
      <c r="J72" s="36">
        <v>6</v>
      </c>
      <c r="K72" s="36">
        <v>7</v>
      </c>
      <c r="L72" s="36">
        <v>8</v>
      </c>
      <c r="M72" s="36">
        <v>9</v>
      </c>
      <c r="N72" s="36">
        <v>10</v>
      </c>
      <c r="O72" t="s" s="37">
        <v>7</v>
      </c>
      <c r="P72" s="16"/>
    </row>
    <row r="73" ht="15.85" customHeight="1">
      <c r="A73" t="s" s="17">
        <v>89</v>
      </c>
      <c r="B73" t="s" s="18">
        <v>9</v>
      </c>
      <c r="C73" t="s" s="18">
        <v>10</v>
      </c>
      <c r="D73" t="s" s="38">
        <v>11</v>
      </c>
      <c r="E73" s="19">
        <v>44531</v>
      </c>
      <c r="F73" s="19">
        <v>44562</v>
      </c>
      <c r="G73" s="19">
        <v>44593</v>
      </c>
      <c r="H73" s="19">
        <v>44621</v>
      </c>
      <c r="I73" s="19">
        <v>44652</v>
      </c>
      <c r="J73" s="19">
        <v>44682</v>
      </c>
      <c r="K73" s="19">
        <v>44713</v>
      </c>
      <c r="L73" s="19">
        <v>44743</v>
      </c>
      <c r="M73" s="19">
        <v>44774</v>
      </c>
      <c r="N73" s="19">
        <v>44805</v>
      </c>
      <c r="O73" s="19">
        <v>44835</v>
      </c>
      <c r="P73" s="16"/>
    </row>
    <row r="74" ht="15.35" customHeight="1">
      <c r="A74" t="s" s="20">
        <v>90</v>
      </c>
      <c r="B74" s="21">
        <v>1</v>
      </c>
      <c r="C74" s="22">
        <v>1500</v>
      </c>
      <c r="D74" s="23">
        <v>1500</v>
      </c>
      <c r="E74" s="39"/>
      <c r="F74" s="44"/>
      <c r="G74" s="39"/>
      <c r="H74" s="39"/>
      <c r="I74" s="39"/>
      <c r="J74" s="39"/>
      <c r="K74" s="39"/>
      <c r="L74" s="39"/>
      <c r="M74" s="39"/>
      <c r="N74" s="39"/>
      <c r="O74" s="39"/>
      <c r="P74" s="25"/>
    </row>
    <row r="75" ht="15.35" customHeight="1">
      <c r="A75" t="s" s="20">
        <v>91</v>
      </c>
      <c r="B75" s="21">
        <v>2</v>
      </c>
      <c r="C75" s="22">
        <v>3500</v>
      </c>
      <c r="D75" s="23">
        <v>6000</v>
      </c>
      <c r="E75" s="39"/>
      <c r="F75" s="44"/>
      <c r="G75" s="39"/>
      <c r="H75" s="39"/>
      <c r="I75" s="39"/>
      <c r="J75" s="39"/>
      <c r="K75" s="39"/>
      <c r="L75" s="39"/>
      <c r="M75" s="39"/>
      <c r="N75" s="39"/>
      <c r="O75" s="39"/>
      <c r="P75" s="25"/>
    </row>
    <row r="76" ht="15.35" customHeight="1">
      <c r="A76" t="s" s="20">
        <v>92</v>
      </c>
      <c r="B76" s="21">
        <v>2</v>
      </c>
      <c r="C76" s="22">
        <v>1000</v>
      </c>
      <c r="D76" s="23">
        <v>2000</v>
      </c>
      <c r="E76" s="39"/>
      <c r="F76" s="44"/>
      <c r="G76" s="39"/>
      <c r="H76" s="39"/>
      <c r="I76" s="39"/>
      <c r="J76" s="39"/>
      <c r="K76" s="39"/>
      <c r="L76" s="39"/>
      <c r="M76" s="39"/>
      <c r="N76" s="39"/>
      <c r="O76" s="39"/>
      <c r="P76" s="25"/>
    </row>
    <row r="77" ht="15.35" customHeight="1">
      <c r="A77" t="s" s="20">
        <v>93</v>
      </c>
      <c r="B77" s="21">
        <v>2</v>
      </c>
      <c r="C77" s="22">
        <v>600</v>
      </c>
      <c r="D77" s="23">
        <v>1200</v>
      </c>
      <c r="E77" s="39"/>
      <c r="F77" s="44"/>
      <c r="G77" s="39"/>
      <c r="H77" s="39"/>
      <c r="I77" s="39"/>
      <c r="J77" s="39"/>
      <c r="K77" s="39"/>
      <c r="L77" s="39"/>
      <c r="M77" s="39"/>
      <c r="N77" s="39"/>
      <c r="O77" s="39"/>
      <c r="P77" s="25"/>
    </row>
    <row r="78" ht="15.35" customHeight="1">
      <c r="A78" t="s" s="20">
        <v>94</v>
      </c>
      <c r="B78" s="21">
        <v>2</v>
      </c>
      <c r="C78" s="22">
        <v>600</v>
      </c>
      <c r="D78" s="23">
        <v>1200</v>
      </c>
      <c r="E78" s="39"/>
      <c r="F78" s="44"/>
      <c r="G78" s="39"/>
      <c r="H78" s="39"/>
      <c r="I78" s="39"/>
      <c r="J78" s="39"/>
      <c r="K78" s="39"/>
      <c r="L78" s="39"/>
      <c r="M78" s="39"/>
      <c r="N78" s="39"/>
      <c r="O78" s="39"/>
      <c r="P78" s="25"/>
    </row>
    <row r="79" ht="15.35" customHeight="1">
      <c r="A79" t="s" s="20">
        <v>95</v>
      </c>
      <c r="B79" s="21">
        <v>2</v>
      </c>
      <c r="C79" s="22">
        <v>4000</v>
      </c>
      <c r="D79" s="23">
        <v>8000</v>
      </c>
      <c r="E79" s="39"/>
      <c r="F79" s="44"/>
      <c r="G79" s="39"/>
      <c r="H79" s="39"/>
      <c r="I79" s="39"/>
      <c r="J79" s="39"/>
      <c r="K79" s="39"/>
      <c r="L79" s="39"/>
      <c r="M79" s="39"/>
      <c r="N79" s="39"/>
      <c r="O79" s="39"/>
      <c r="P79" s="25"/>
    </row>
    <row r="80" ht="15.35" customHeight="1">
      <c r="A80" t="s" s="20">
        <v>96</v>
      </c>
      <c r="B80" s="21">
        <v>1</v>
      </c>
      <c r="C80" s="22">
        <v>350</v>
      </c>
      <c r="D80" s="23">
        <v>350</v>
      </c>
      <c r="E80" s="39"/>
      <c r="F80" s="44"/>
      <c r="G80" s="39"/>
      <c r="H80" s="39"/>
      <c r="I80" s="39"/>
      <c r="J80" s="39"/>
      <c r="K80" s="39"/>
      <c r="L80" s="39"/>
      <c r="M80" s="39"/>
      <c r="N80" s="39"/>
      <c r="O80" s="39"/>
      <c r="P80" s="25"/>
    </row>
    <row r="81" ht="15.35" customHeight="1">
      <c r="A81" t="s" s="20">
        <v>97</v>
      </c>
      <c r="B81" s="21">
        <v>1</v>
      </c>
      <c r="C81" s="22">
        <v>500</v>
      </c>
      <c r="D81" s="23">
        <v>500</v>
      </c>
      <c r="E81" s="39"/>
      <c r="F81" s="44"/>
      <c r="G81" s="39"/>
      <c r="H81" s="39"/>
      <c r="I81" s="39"/>
      <c r="J81" s="39"/>
      <c r="K81" s="39"/>
      <c r="L81" s="39"/>
      <c r="M81" s="39"/>
      <c r="N81" s="39"/>
      <c r="O81" s="39"/>
      <c r="P81" s="25"/>
    </row>
    <row r="82" ht="16.5" customHeight="1">
      <c r="A82" t="s" s="20">
        <v>98</v>
      </c>
      <c r="B82" s="21">
        <v>1</v>
      </c>
      <c r="C82" s="22">
        <v>350</v>
      </c>
      <c r="D82" s="27">
        <v>350</v>
      </c>
      <c r="E82" s="39"/>
      <c r="F82" s="44"/>
      <c r="G82" s="39"/>
      <c r="H82" s="39"/>
      <c r="I82" s="39"/>
      <c r="J82" s="39"/>
      <c r="K82" s="39"/>
      <c r="L82" s="39"/>
      <c r="M82" s="39"/>
      <c r="N82" s="39"/>
      <c r="O82" s="39"/>
      <c r="P82" s="25"/>
    </row>
    <row r="83" ht="19.5" customHeight="1">
      <c r="A83" s="31"/>
      <c r="B83" s="32"/>
      <c r="C83" s="33"/>
      <c r="D83" s="82" cm="1">
        <f t="array" ref="D83">SUM(D74:D82)</f>
        <v>21100</v>
      </c>
      <c r="E83" s="35">
        <v>1</v>
      </c>
      <c r="F83" s="36">
        <v>2</v>
      </c>
      <c r="G83" s="36">
        <v>3</v>
      </c>
      <c r="H83" s="36">
        <v>4</v>
      </c>
      <c r="I83" s="36">
        <v>5</v>
      </c>
      <c r="J83" s="36">
        <v>6</v>
      </c>
      <c r="K83" s="36">
        <v>7</v>
      </c>
      <c r="L83" s="36">
        <v>8</v>
      </c>
      <c r="M83" s="36">
        <v>9</v>
      </c>
      <c r="N83" s="36">
        <v>10</v>
      </c>
      <c r="O83" t="s" s="37">
        <v>7</v>
      </c>
      <c r="P83" s="16"/>
    </row>
    <row r="84" ht="15.85" customHeight="1">
      <c r="A84" t="s" s="17">
        <v>99</v>
      </c>
      <c r="B84" t="s" s="18">
        <v>9</v>
      </c>
      <c r="C84" t="s" s="18">
        <v>10</v>
      </c>
      <c r="D84" t="s" s="38">
        <v>11</v>
      </c>
      <c r="E84" s="19">
        <v>44531</v>
      </c>
      <c r="F84" s="19">
        <v>44562</v>
      </c>
      <c r="G84" s="19">
        <v>44593</v>
      </c>
      <c r="H84" s="19">
        <v>44621</v>
      </c>
      <c r="I84" s="19">
        <v>44652</v>
      </c>
      <c r="J84" s="19">
        <v>44682</v>
      </c>
      <c r="K84" s="19">
        <v>44713</v>
      </c>
      <c r="L84" s="19">
        <v>44743</v>
      </c>
      <c r="M84" s="19">
        <v>44774</v>
      </c>
      <c r="N84" s="19">
        <v>44805</v>
      </c>
      <c r="O84" s="19">
        <v>44835</v>
      </c>
      <c r="P84" s="16"/>
    </row>
    <row r="85" ht="15.35" customHeight="1">
      <c r="A85" t="s" s="20">
        <v>26</v>
      </c>
      <c r="B85" s="21">
        <v>1</v>
      </c>
      <c r="C85" s="22">
        <v>500</v>
      </c>
      <c r="D85" s="23">
        <v>500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25"/>
    </row>
    <row r="86" ht="15.35" customHeight="1">
      <c r="A86" t="s" s="20">
        <v>100</v>
      </c>
      <c r="B86" s="21">
        <v>1</v>
      </c>
      <c r="C86" s="22">
        <v>500</v>
      </c>
      <c r="D86" s="23">
        <v>500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25"/>
    </row>
    <row r="87" ht="16.5" customHeight="1">
      <c r="A87" t="s" s="20">
        <v>101</v>
      </c>
      <c r="B87" s="21">
        <v>1</v>
      </c>
      <c r="C87" s="22">
        <v>5000</v>
      </c>
      <c r="D87" s="27">
        <v>5000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25"/>
    </row>
    <row r="88" ht="19.5" customHeight="1">
      <c r="A88" s="31"/>
      <c r="B88" s="32"/>
      <c r="C88" s="33"/>
      <c r="D88" s="82" cm="1">
        <f t="array" ref="D88">SUM(D85:D87)</f>
        <v>6000</v>
      </c>
      <c r="E88" s="35">
        <v>1</v>
      </c>
      <c r="F88" s="36">
        <v>2</v>
      </c>
      <c r="G88" s="36">
        <v>3</v>
      </c>
      <c r="H88" s="36">
        <v>4</v>
      </c>
      <c r="I88" s="36">
        <v>5</v>
      </c>
      <c r="J88" s="36">
        <v>6</v>
      </c>
      <c r="K88" s="36">
        <v>7</v>
      </c>
      <c r="L88" s="36">
        <v>8</v>
      </c>
      <c r="M88" s="36">
        <v>9</v>
      </c>
      <c r="N88" s="36">
        <v>10</v>
      </c>
      <c r="O88" t="s" s="37">
        <v>7</v>
      </c>
      <c r="P88" s="16"/>
    </row>
    <row r="89" ht="15.85" customHeight="1">
      <c r="A89" t="s" s="17">
        <v>102</v>
      </c>
      <c r="B89" t="s" s="18">
        <v>9</v>
      </c>
      <c r="C89" t="s" s="18">
        <v>10</v>
      </c>
      <c r="D89" t="s" s="38">
        <v>11</v>
      </c>
      <c r="E89" s="19">
        <v>44531</v>
      </c>
      <c r="F89" s="19">
        <v>44562</v>
      </c>
      <c r="G89" s="19">
        <v>44593</v>
      </c>
      <c r="H89" s="19">
        <v>44621</v>
      </c>
      <c r="I89" s="19">
        <v>44652</v>
      </c>
      <c r="J89" s="19">
        <v>44682</v>
      </c>
      <c r="K89" s="19">
        <v>44713</v>
      </c>
      <c r="L89" s="19">
        <v>44743</v>
      </c>
      <c r="M89" s="19">
        <v>44774</v>
      </c>
      <c r="N89" s="19">
        <v>44805</v>
      </c>
      <c r="O89" s="19">
        <v>44835</v>
      </c>
      <c r="P89" s="16"/>
    </row>
    <row r="90" ht="15.35" customHeight="1">
      <c r="A90" t="s" s="20">
        <v>103</v>
      </c>
      <c r="B90" s="43">
        <v>1000</v>
      </c>
      <c r="C90" s="22">
        <v>70</v>
      </c>
      <c r="D90" s="23">
        <v>70000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39"/>
      <c r="P90" s="25"/>
    </row>
    <row r="91" ht="15.35" customHeight="1">
      <c r="A91" t="s" s="20">
        <v>104</v>
      </c>
      <c r="B91" s="51"/>
      <c r="C91" s="22"/>
      <c r="D91" s="23">
        <v>3000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25"/>
    </row>
    <row r="92" ht="15.35" customHeight="1">
      <c r="A92" t="s" s="95">
        <v>105</v>
      </c>
      <c r="B92" s="51"/>
      <c r="C92" s="22"/>
      <c r="D92" s="23">
        <v>5000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25"/>
    </row>
    <row r="93" ht="15.35" customHeight="1">
      <c r="A93" t="s" s="20">
        <v>106</v>
      </c>
      <c r="B93" s="51"/>
      <c r="C93" s="22"/>
      <c r="D93" s="23">
        <v>10000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25"/>
    </row>
    <row r="94" ht="15.35" customHeight="1">
      <c r="A94" t="s" s="20">
        <v>107</v>
      </c>
      <c r="B94" s="51"/>
      <c r="C94" s="22"/>
      <c r="D94" s="23">
        <v>2500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25"/>
    </row>
    <row r="95" ht="16.5" customHeight="1">
      <c r="A95" t="s" s="20">
        <v>108</v>
      </c>
      <c r="B95" s="51"/>
      <c r="C95" s="22"/>
      <c r="D95" s="27">
        <v>5000</v>
      </c>
      <c r="E95" s="39"/>
      <c r="F95" s="39"/>
      <c r="G95" s="39"/>
      <c r="H95" s="39"/>
      <c r="I95" s="39"/>
      <c r="J95" s="39"/>
      <c r="K95" s="39"/>
      <c r="L95" s="44"/>
      <c r="M95" s="44"/>
      <c r="N95" s="44"/>
      <c r="O95" s="39"/>
      <c r="P95" s="25"/>
    </row>
    <row r="96" ht="19.5" customHeight="1">
      <c r="A96" s="31"/>
      <c r="B96" s="32"/>
      <c r="C96" s="33"/>
      <c r="D96" s="34" cm="1">
        <f t="array" ref="D96">SUM(D90:D95)</f>
        <v>95500</v>
      </c>
      <c r="E96" s="35">
        <v>1</v>
      </c>
      <c r="F96" s="36">
        <v>2</v>
      </c>
      <c r="G96" s="36">
        <v>3</v>
      </c>
      <c r="H96" s="36">
        <v>4</v>
      </c>
      <c r="I96" s="36">
        <v>5</v>
      </c>
      <c r="J96" s="36">
        <v>6</v>
      </c>
      <c r="K96" s="36">
        <v>7</v>
      </c>
      <c r="L96" s="36">
        <v>8</v>
      </c>
      <c r="M96" s="36">
        <v>9</v>
      </c>
      <c r="N96" s="36">
        <v>10</v>
      </c>
      <c r="O96" t="s" s="37">
        <v>7</v>
      </c>
      <c r="P96" s="16"/>
    </row>
    <row r="97" ht="15.85" customHeight="1">
      <c r="A97" t="s" s="17">
        <v>109</v>
      </c>
      <c r="B97" t="s" s="18">
        <v>9</v>
      </c>
      <c r="C97" t="s" s="18">
        <v>10</v>
      </c>
      <c r="D97" t="s" s="38">
        <v>11</v>
      </c>
      <c r="E97" s="19">
        <v>44531</v>
      </c>
      <c r="F97" s="19">
        <v>44562</v>
      </c>
      <c r="G97" s="19">
        <v>44593</v>
      </c>
      <c r="H97" s="19">
        <v>44621</v>
      </c>
      <c r="I97" s="19">
        <v>44652</v>
      </c>
      <c r="J97" s="19">
        <v>44682</v>
      </c>
      <c r="K97" s="19">
        <v>44713</v>
      </c>
      <c r="L97" s="19">
        <v>44743</v>
      </c>
      <c r="M97" s="19">
        <v>44774</v>
      </c>
      <c r="N97" s="19">
        <v>44805</v>
      </c>
      <c r="O97" s="19">
        <v>44835</v>
      </c>
      <c r="P97" s="16"/>
    </row>
    <row r="98" ht="15.35" customHeight="1">
      <c r="A98" t="s" s="20">
        <v>36</v>
      </c>
      <c r="B98" s="21">
        <v>150</v>
      </c>
      <c r="C98" s="22">
        <v>100</v>
      </c>
      <c r="D98" s="23">
        <v>0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67"/>
      <c r="P98" s="25"/>
    </row>
    <row r="99" ht="15.35" customHeight="1">
      <c r="A99" t="s" s="20">
        <v>64</v>
      </c>
      <c r="B99" s="43">
        <v>250000</v>
      </c>
      <c r="C99" s="22"/>
      <c r="D99" s="23" cm="1">
        <f t="array" ref="D99">SUM(D89)</f>
        <v>0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67"/>
      <c r="P99" s="25"/>
    </row>
    <row r="100" ht="15.35" customHeight="1">
      <c r="A100" t="s" s="20">
        <v>110</v>
      </c>
      <c r="B100" s="21">
        <v>300</v>
      </c>
      <c r="C100" t="s" s="41">
        <v>111</v>
      </c>
      <c r="D100" s="23">
        <v>3600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67"/>
      <c r="P100" s="25"/>
    </row>
    <row r="101" ht="15.35" customHeight="1">
      <c r="A101" t="s" s="20">
        <v>112</v>
      </c>
      <c r="B101" s="51"/>
      <c r="C101" s="22"/>
      <c r="D101" s="23" cm="1">
        <f t="array" ref="D101">SUM(D91)</f>
        <v>3000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65">
        <v>10</v>
      </c>
      <c r="P101" s="25"/>
    </row>
    <row r="102" ht="16.5" customHeight="1">
      <c r="A102" t="s" s="20">
        <v>113</v>
      </c>
      <c r="B102" s="21">
        <v>2500</v>
      </c>
      <c r="C102" s="22"/>
      <c r="D102" s="27">
        <v>18750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65">
        <v>2500</v>
      </c>
      <c r="P102" s="25"/>
    </row>
    <row r="103" ht="19.5" customHeight="1">
      <c r="A103" s="31"/>
      <c r="B103" s="32"/>
      <c r="C103" s="33"/>
      <c r="D103" s="82" cm="1">
        <f t="array" ref="D103">SUM(D94)</f>
        <v>2500</v>
      </c>
      <c r="E103" s="35">
        <v>1</v>
      </c>
      <c r="F103" s="36">
        <v>2</v>
      </c>
      <c r="G103" s="36">
        <v>3</v>
      </c>
      <c r="H103" s="36">
        <v>4</v>
      </c>
      <c r="I103" s="36">
        <v>5</v>
      </c>
      <c r="J103" s="36">
        <v>6</v>
      </c>
      <c r="K103" s="36">
        <v>7</v>
      </c>
      <c r="L103" s="36">
        <v>8</v>
      </c>
      <c r="M103" s="36">
        <v>9</v>
      </c>
      <c r="N103" s="36">
        <v>10</v>
      </c>
      <c r="O103" t="s" s="37">
        <v>7</v>
      </c>
      <c r="P103" s="16"/>
    </row>
    <row r="104" ht="15.85" customHeight="1">
      <c r="A104" t="s" s="17">
        <v>114</v>
      </c>
      <c r="B104" t="s" s="18">
        <v>9</v>
      </c>
      <c r="C104" t="s" s="18">
        <v>10</v>
      </c>
      <c r="D104" t="s" s="38">
        <v>11</v>
      </c>
      <c r="E104" s="19">
        <v>44531</v>
      </c>
      <c r="F104" s="19">
        <v>44562</v>
      </c>
      <c r="G104" s="19">
        <v>44593</v>
      </c>
      <c r="H104" s="19">
        <v>44621</v>
      </c>
      <c r="I104" s="19">
        <v>44652</v>
      </c>
      <c r="J104" s="19">
        <v>44682</v>
      </c>
      <c r="K104" s="19">
        <v>44713</v>
      </c>
      <c r="L104" s="19">
        <v>44743</v>
      </c>
      <c r="M104" s="19">
        <v>44774</v>
      </c>
      <c r="N104" s="19">
        <v>44805</v>
      </c>
      <c r="O104" s="19">
        <v>44835</v>
      </c>
      <c r="P104" s="16"/>
    </row>
    <row r="105" ht="15.35" customHeight="1">
      <c r="A105" t="s" s="20">
        <v>115</v>
      </c>
      <c r="B105" s="39"/>
      <c r="C105" s="96"/>
      <c r="D105" s="23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25"/>
    </row>
    <row r="106" ht="15.35" customHeight="1">
      <c r="A106" t="s" s="20">
        <v>116</v>
      </c>
      <c r="B106" s="39"/>
      <c r="C106" s="96"/>
      <c r="D106" s="23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25"/>
    </row>
    <row r="107" ht="16.5" customHeight="1">
      <c r="A107" t="s" s="20">
        <v>117</v>
      </c>
      <c r="B107" s="39"/>
      <c r="C107" s="96"/>
      <c r="D107" s="27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25"/>
    </row>
    <row r="108" ht="19.5" customHeight="1">
      <c r="A108" s="31"/>
      <c r="B108" s="32"/>
      <c r="C108" s="33"/>
      <c r="D108" s="34">
        <v>30000</v>
      </c>
      <c r="E108" s="35">
        <v>1</v>
      </c>
      <c r="F108" s="36">
        <v>2</v>
      </c>
      <c r="G108" s="36">
        <v>3</v>
      </c>
      <c r="H108" s="36">
        <v>4</v>
      </c>
      <c r="I108" s="36">
        <v>5</v>
      </c>
      <c r="J108" s="36">
        <v>6</v>
      </c>
      <c r="K108" s="36">
        <v>7</v>
      </c>
      <c r="L108" s="36">
        <v>8</v>
      </c>
      <c r="M108" s="36">
        <v>9</v>
      </c>
      <c r="N108" s="36">
        <v>10</v>
      </c>
      <c r="O108" t="s" s="37">
        <v>7</v>
      </c>
      <c r="P108" s="16"/>
    </row>
    <row r="109" ht="15.85" customHeight="1">
      <c r="A109" t="s" s="17">
        <v>118</v>
      </c>
      <c r="B109" t="s" s="18">
        <v>9</v>
      </c>
      <c r="C109" t="s" s="18">
        <v>10</v>
      </c>
      <c r="D109" t="s" s="38">
        <v>11</v>
      </c>
      <c r="E109" s="19">
        <v>44531</v>
      </c>
      <c r="F109" s="19">
        <v>44562</v>
      </c>
      <c r="G109" s="19">
        <v>44593</v>
      </c>
      <c r="H109" s="19">
        <v>44621</v>
      </c>
      <c r="I109" s="19">
        <v>44652</v>
      </c>
      <c r="J109" s="19">
        <v>44682</v>
      </c>
      <c r="K109" s="19">
        <v>44713</v>
      </c>
      <c r="L109" s="19">
        <v>44743</v>
      </c>
      <c r="M109" s="19">
        <v>44774</v>
      </c>
      <c r="N109" s="19">
        <v>44805</v>
      </c>
      <c r="O109" s="19">
        <v>44835</v>
      </c>
      <c r="P109" s="16"/>
    </row>
    <row r="110" ht="15.35" customHeight="1">
      <c r="A110" t="s" s="20">
        <v>119</v>
      </c>
      <c r="B110" s="24">
        <v>1</v>
      </c>
      <c r="C110" s="96">
        <v>3000</v>
      </c>
      <c r="D110" s="23">
        <v>6000</v>
      </c>
      <c r="E110" s="39"/>
      <c r="F110" s="39"/>
      <c r="G110" s="39"/>
      <c r="H110" s="39"/>
      <c r="I110" s="39"/>
      <c r="J110" s="39"/>
      <c r="K110" s="39"/>
      <c r="L110" s="39"/>
      <c r="M110" s="40">
        <v>3000</v>
      </c>
      <c r="N110" s="40">
        <v>3000</v>
      </c>
      <c r="O110" s="39"/>
      <c r="P110" s="25"/>
    </row>
    <row r="111" ht="15.35" customHeight="1">
      <c r="A111" t="s" s="20">
        <v>120</v>
      </c>
      <c r="B111" s="24">
        <v>1</v>
      </c>
      <c r="C111" s="96">
        <v>3500</v>
      </c>
      <c r="D111" s="23">
        <v>21000</v>
      </c>
      <c r="E111" s="39"/>
      <c r="F111" s="39"/>
      <c r="G111" s="39"/>
      <c r="H111" s="39"/>
      <c r="I111" s="40">
        <v>3500</v>
      </c>
      <c r="J111" s="40">
        <v>3500</v>
      </c>
      <c r="K111" s="40">
        <v>3500</v>
      </c>
      <c r="L111" s="40">
        <v>3500</v>
      </c>
      <c r="M111" s="40">
        <v>3500</v>
      </c>
      <c r="N111" s="40">
        <v>3500</v>
      </c>
      <c r="O111" s="39"/>
      <c r="P111" s="25"/>
    </row>
    <row r="112" ht="15.35" customHeight="1">
      <c r="A112" t="s" s="20">
        <v>121</v>
      </c>
      <c r="B112" s="24"/>
      <c r="C112" s="96"/>
      <c r="D112" s="23"/>
      <c r="E112" s="39"/>
      <c r="F112" s="39"/>
      <c r="G112" s="39"/>
      <c r="H112" s="39"/>
      <c r="I112" s="44"/>
      <c r="J112" s="44"/>
      <c r="K112" s="44"/>
      <c r="L112" s="44"/>
      <c r="M112" s="44"/>
      <c r="N112" s="44"/>
      <c r="O112" s="39"/>
      <c r="P112" s="25"/>
    </row>
    <row r="113" ht="18.75" customHeight="1">
      <c r="A113" s="97"/>
      <c r="B113" s="39"/>
      <c r="C113" s="96"/>
      <c r="D113" s="98" cm="1">
        <f t="array" ref="D113">SUM(D110:D112)</f>
        <v>27000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99"/>
      <c r="O113" t="s" s="37">
        <v>7</v>
      </c>
      <c r="P113" s="16"/>
    </row>
    <row r="114" ht="15.35" customHeight="1">
      <c r="A114" t="s" s="100">
        <v>122</v>
      </c>
      <c r="B114" t="s" s="101">
        <v>9</v>
      </c>
      <c r="C114" t="s" s="101">
        <v>10</v>
      </c>
      <c r="D114" t="s" s="101">
        <v>11</v>
      </c>
      <c r="E114" s="102">
        <v>44531</v>
      </c>
      <c r="F114" s="102">
        <v>44562</v>
      </c>
      <c r="G114" s="102">
        <v>44593</v>
      </c>
      <c r="H114" s="102">
        <v>44621</v>
      </c>
      <c r="I114" s="102">
        <v>44652</v>
      </c>
      <c r="J114" s="102">
        <v>44682</v>
      </c>
      <c r="K114" s="102">
        <v>44713</v>
      </c>
      <c r="L114" s="102">
        <v>44743</v>
      </c>
      <c r="M114" s="102">
        <v>44774</v>
      </c>
      <c r="N114" s="102">
        <v>44805</v>
      </c>
      <c r="O114" s="19">
        <v>44835</v>
      </c>
      <c r="P114" s="16"/>
    </row>
    <row r="115" ht="15.35" customHeight="1">
      <c r="A115" t="s" s="20">
        <v>123</v>
      </c>
      <c r="B115" s="83">
        <v>3</v>
      </c>
      <c r="C115" s="96">
        <v>15000</v>
      </c>
      <c r="D115" s="23">
        <v>45000</v>
      </c>
      <c r="E115" s="39"/>
      <c r="F115" s="39"/>
      <c r="G115" s="39"/>
      <c r="H115" s="44"/>
      <c r="I115" s="39"/>
      <c r="J115" s="39"/>
      <c r="K115" s="44"/>
      <c r="L115" s="39"/>
      <c r="M115" s="39"/>
      <c r="N115" s="44"/>
      <c r="O115" s="39"/>
      <c r="P115" s="25"/>
    </row>
    <row r="116" ht="16.5" customHeight="1">
      <c r="A116" t="s" s="20">
        <v>124</v>
      </c>
      <c r="B116" s="83">
        <v>2</v>
      </c>
      <c r="C116" s="96">
        <v>25000</v>
      </c>
      <c r="D116" s="27">
        <v>50000</v>
      </c>
      <c r="E116" s="39"/>
      <c r="F116" s="44"/>
      <c r="G116" s="39"/>
      <c r="H116" s="39"/>
      <c r="I116" s="39"/>
      <c r="J116" s="39"/>
      <c r="K116" s="39"/>
      <c r="L116" s="44"/>
      <c r="M116" s="39"/>
      <c r="N116" s="39"/>
      <c r="O116" s="39"/>
      <c r="P116" s="25"/>
    </row>
    <row r="117" ht="16.5" customHeight="1">
      <c r="A117" s="97"/>
      <c r="B117" s="39"/>
      <c r="C117" s="103"/>
      <c r="D117" s="104" cm="1">
        <f t="array" ref="D117">SUM(D115:D116)</f>
        <v>95000</v>
      </c>
      <c r="E117" s="105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25"/>
    </row>
    <row r="118" ht="15.85" customHeight="1">
      <c r="A118" s="31"/>
      <c r="B118" s="32"/>
      <c r="C118" s="32"/>
      <c r="D118" s="106"/>
      <c r="E118" s="32"/>
      <c r="F118" s="32"/>
      <c r="G118" s="32"/>
      <c r="H118" s="32"/>
      <c r="I118" s="32"/>
      <c r="J118" s="32"/>
      <c r="K118" s="32"/>
      <c r="L118" s="32"/>
      <c r="M118" s="32"/>
      <c r="N118" s="107"/>
      <c r="O118" t="s" s="37">
        <v>7</v>
      </c>
      <c r="P118" s="16"/>
    </row>
    <row r="119" ht="15.35" customHeight="1">
      <c r="A119" t="s" s="17">
        <v>109</v>
      </c>
      <c r="B119" t="s" s="18">
        <v>9</v>
      </c>
      <c r="C119" t="s" s="18">
        <v>10</v>
      </c>
      <c r="D119" t="s" s="18">
        <v>11</v>
      </c>
      <c r="E119" s="19">
        <v>44531</v>
      </c>
      <c r="F119" s="19">
        <v>44562</v>
      </c>
      <c r="G119" s="19">
        <v>44593</v>
      </c>
      <c r="H119" s="19">
        <v>44621</v>
      </c>
      <c r="I119" s="19">
        <v>44652</v>
      </c>
      <c r="J119" s="19">
        <v>44682</v>
      </c>
      <c r="K119" s="19">
        <v>44713</v>
      </c>
      <c r="L119" s="19">
        <v>44743</v>
      </c>
      <c r="M119" s="19">
        <v>44774</v>
      </c>
      <c r="N119" s="19">
        <v>44805</v>
      </c>
      <c r="O119" s="19">
        <v>44835</v>
      </c>
      <c r="P119" s="16"/>
    </row>
    <row r="120" ht="15.35" customHeight="1">
      <c r="A120" t="s" s="20">
        <v>125</v>
      </c>
      <c r="B120" s="39"/>
      <c r="C120" s="96"/>
      <c r="D120" s="23">
        <v>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44"/>
      <c r="P120" s="25"/>
    </row>
    <row r="121" ht="15.35" customHeight="1">
      <c r="A121" t="s" s="20">
        <v>126</v>
      </c>
      <c r="B121" s="39"/>
      <c r="C121" s="96"/>
      <c r="D121" s="23" cm="1">
        <f t="array" ref="D121">SUM(D118)</f>
        <v>0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44"/>
      <c r="P121" s="25"/>
    </row>
    <row r="122" ht="16.5" customHeight="1">
      <c r="A122" t="s" s="20">
        <v>127</v>
      </c>
      <c r="B122" s="39"/>
      <c r="C122" s="96"/>
      <c r="D122" s="27" cm="1">
        <f t="array" ref="D122">SUM(D119)</f>
        <v>0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44"/>
      <c r="P122" s="25"/>
    </row>
    <row r="123" ht="19.5" customHeight="1">
      <c r="A123" s="108"/>
      <c r="B123" s="109"/>
      <c r="C123" s="110"/>
      <c r="D123" s="111" cm="1">
        <f t="array" ref="D123">SUM(D120)</f>
        <v>0</v>
      </c>
      <c r="E123" s="112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"/>
    </row>
    <row r="124" ht="16.5" customHeight="1">
      <c r="A124" s="10"/>
      <c r="B124" s="113"/>
      <c r="C124" s="113"/>
      <c r="D124" s="114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0"/>
    </row>
    <row r="125" ht="21.75" customHeight="1">
      <c r="A125" s="116"/>
      <c r="B125" t="s" s="117">
        <v>128</v>
      </c>
      <c r="C125" s="118"/>
      <c r="D125" s="119" cm="1">
        <f t="array" ref="D125">D123+D117+D108+D103+D96+D88+D83+D72+D51+D40+D21+D15+D7</f>
        <v>1505075</v>
      </c>
      <c r="E125" s="120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0"/>
    </row>
  </sheetData>
  <mergeCells count="2">
    <mergeCell ref="A1:N1"/>
    <mergeCell ref="B125:C12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125"/>
  <sheetViews>
    <sheetView workbookViewId="0" showGridLines="0" defaultGridColor="1"/>
  </sheetViews>
  <sheetFormatPr defaultColWidth="8.83333" defaultRowHeight="15.75" customHeight="1" outlineLevelRow="0" outlineLevelCol="0"/>
  <cols>
    <col min="1" max="1" width="62.1719" style="122" customWidth="1"/>
    <col min="2" max="2" width="10.8516" style="122" customWidth="1"/>
    <col min="3" max="3" width="16.6719" style="122" customWidth="1"/>
    <col min="4" max="4" width="23.6719" style="122" customWidth="1"/>
    <col min="5" max="5" width="8" style="122" customWidth="1"/>
    <col min="6" max="7" width="7.67188" style="122" customWidth="1"/>
    <col min="8" max="8" width="8.5" style="122" customWidth="1"/>
    <col min="9" max="9" width="7.85156" style="122" customWidth="1"/>
    <col min="10" max="10" width="8" style="122" customWidth="1"/>
    <col min="11" max="11" width="7.85156" style="122" customWidth="1"/>
    <col min="12" max="12" width="7.67188" style="122" customWidth="1"/>
    <col min="13" max="14" width="9.35156" style="122" customWidth="1"/>
    <col min="15" max="15" width="11" style="122" customWidth="1"/>
    <col min="16" max="16" width="102.5" style="122" customWidth="1"/>
    <col min="17" max="16384" width="8.85156" style="122" customWidth="1"/>
  </cols>
  <sheetData>
    <row r="1" ht="15.35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</row>
    <row r="2" ht="15.35" customHeight="1">
      <c r="A2" s="11"/>
      <c r="B2" s="12"/>
      <c r="C2" s="12"/>
      <c r="D2" s="13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t="s" s="15">
        <v>7</v>
      </c>
      <c r="P2" s="16"/>
    </row>
    <row r="3" ht="15.35" customHeight="1">
      <c r="A3" t="s" s="17">
        <v>8</v>
      </c>
      <c r="B3" t="s" s="18">
        <v>9</v>
      </c>
      <c r="C3" t="s" s="18">
        <v>10</v>
      </c>
      <c r="D3" t="s" s="18">
        <v>11</v>
      </c>
      <c r="E3" s="19">
        <v>44531</v>
      </c>
      <c r="F3" s="19">
        <v>44562</v>
      </c>
      <c r="G3" s="19">
        <v>44593</v>
      </c>
      <c r="H3" s="19">
        <v>44621</v>
      </c>
      <c r="I3" s="19">
        <v>44652</v>
      </c>
      <c r="J3" s="19">
        <v>44682</v>
      </c>
      <c r="K3" s="19">
        <v>44713</v>
      </c>
      <c r="L3" s="19">
        <v>44743</v>
      </c>
      <c r="M3" s="19">
        <v>44774</v>
      </c>
      <c r="N3" s="19">
        <v>44805</v>
      </c>
      <c r="O3" s="19">
        <v>44835</v>
      </c>
      <c r="P3" s="16"/>
    </row>
    <row r="4" ht="15.35" customHeight="1">
      <c r="A4" t="s" s="20">
        <v>12</v>
      </c>
      <c r="B4" s="21">
        <v>1</v>
      </c>
      <c r="C4" s="22">
        <v>25000</v>
      </c>
      <c r="D4" s="23">
        <v>22500</v>
      </c>
      <c r="E4" s="24"/>
      <c r="F4" s="24">
        <v>12500</v>
      </c>
      <c r="G4" s="24">
        <v>12500</v>
      </c>
      <c r="H4" s="24"/>
      <c r="I4" s="24"/>
      <c r="J4" s="24"/>
      <c r="K4" s="24"/>
      <c r="L4" s="24"/>
      <c r="M4" s="24"/>
      <c r="N4" s="24"/>
      <c r="O4" s="24"/>
      <c r="P4" s="25"/>
    </row>
    <row r="5" ht="15.35" customHeight="1">
      <c r="A5" t="s" s="20">
        <v>13</v>
      </c>
      <c r="B5" s="21">
        <v>1</v>
      </c>
      <c r="C5" s="22">
        <v>30000</v>
      </c>
      <c r="D5" s="23">
        <v>22500</v>
      </c>
      <c r="E5" s="24">
        <v>3000</v>
      </c>
      <c r="F5" s="24">
        <v>3000</v>
      </c>
      <c r="G5" s="24">
        <v>3000</v>
      </c>
      <c r="H5" s="24">
        <v>3000</v>
      </c>
      <c r="I5" s="24">
        <v>3000</v>
      </c>
      <c r="J5" s="24">
        <v>3000</v>
      </c>
      <c r="K5" s="24">
        <v>3000</v>
      </c>
      <c r="L5" s="24">
        <v>3000</v>
      </c>
      <c r="M5" s="24">
        <v>3000</v>
      </c>
      <c r="N5" s="24">
        <v>3000</v>
      </c>
      <c r="O5" s="26"/>
      <c r="P5" s="25"/>
    </row>
    <row r="6" ht="16.5" customHeight="1">
      <c r="A6" t="s" s="20">
        <v>14</v>
      </c>
      <c r="B6" s="21">
        <v>45</v>
      </c>
      <c r="C6" s="22">
        <v>500</v>
      </c>
      <c r="D6" s="27">
        <v>22500</v>
      </c>
      <c r="E6" s="28">
        <v>2000</v>
      </c>
      <c r="F6" s="28">
        <v>2000</v>
      </c>
      <c r="G6" s="28">
        <v>2000</v>
      </c>
      <c r="H6" s="28">
        <v>2000</v>
      </c>
      <c r="I6" s="28">
        <v>2000</v>
      </c>
      <c r="J6" s="28">
        <v>2000</v>
      </c>
      <c r="K6" s="28">
        <v>2000</v>
      </c>
      <c r="L6" s="28">
        <v>2000</v>
      </c>
      <c r="M6" s="28">
        <v>2000</v>
      </c>
      <c r="N6" s="28">
        <v>2000</v>
      </c>
      <c r="O6" s="29"/>
      <c r="P6" t="s" s="30">
        <v>15</v>
      </c>
    </row>
    <row r="7" ht="19.5" customHeight="1">
      <c r="A7" s="31"/>
      <c r="B7" s="32"/>
      <c r="C7" s="33"/>
      <c r="D7" s="34" cm="1">
        <f t="array" ref="D7">SUM(D4:D6)</f>
        <v>67500</v>
      </c>
      <c r="E7" s="35">
        <v>1</v>
      </c>
      <c r="F7" s="36">
        <v>2</v>
      </c>
      <c r="G7" s="36">
        <v>3</v>
      </c>
      <c r="H7" s="36">
        <v>4</v>
      </c>
      <c r="I7" s="36">
        <v>5</v>
      </c>
      <c r="J7" s="36">
        <v>6</v>
      </c>
      <c r="K7" s="36">
        <v>7</v>
      </c>
      <c r="L7" s="36">
        <v>8</v>
      </c>
      <c r="M7" s="36">
        <v>9</v>
      </c>
      <c r="N7" s="36">
        <v>10</v>
      </c>
      <c r="O7" t="s" s="37">
        <v>7</v>
      </c>
      <c r="P7" s="16"/>
    </row>
    <row r="8" ht="15.85" customHeight="1">
      <c r="A8" t="s" s="17">
        <v>16</v>
      </c>
      <c r="B8" t="s" s="18">
        <v>9</v>
      </c>
      <c r="C8" t="s" s="18">
        <v>10</v>
      </c>
      <c r="D8" t="s" s="38">
        <v>11</v>
      </c>
      <c r="E8" s="19">
        <v>44531</v>
      </c>
      <c r="F8" s="19">
        <v>44562</v>
      </c>
      <c r="G8" s="19">
        <v>44593</v>
      </c>
      <c r="H8" s="19">
        <v>44621</v>
      </c>
      <c r="I8" s="19">
        <v>44652</v>
      </c>
      <c r="J8" s="19">
        <v>44682</v>
      </c>
      <c r="K8" s="19">
        <v>44713</v>
      </c>
      <c r="L8" s="19">
        <v>44743</v>
      </c>
      <c r="M8" s="19">
        <v>44774</v>
      </c>
      <c r="N8" s="19">
        <v>44805</v>
      </c>
      <c r="O8" s="19">
        <v>44835</v>
      </c>
      <c r="P8" s="16"/>
    </row>
    <row r="9" ht="15.35" customHeight="1">
      <c r="A9" t="s" s="20">
        <v>17</v>
      </c>
      <c r="B9" s="21">
        <v>45</v>
      </c>
      <c r="C9" s="22">
        <v>1000</v>
      </c>
      <c r="D9" s="23">
        <v>45000</v>
      </c>
      <c r="E9" s="39"/>
      <c r="F9" s="39"/>
      <c r="G9" s="39"/>
      <c r="H9" s="39"/>
      <c r="I9" s="28">
        <v>5</v>
      </c>
      <c r="J9" s="28">
        <v>5</v>
      </c>
      <c r="K9" s="28">
        <v>5</v>
      </c>
      <c r="L9" s="40">
        <v>10</v>
      </c>
      <c r="M9" s="40">
        <v>10</v>
      </c>
      <c r="N9" s="40">
        <v>10</v>
      </c>
      <c r="O9" s="26"/>
      <c r="P9" s="25"/>
    </row>
    <row r="10" ht="15.35" customHeight="1">
      <c r="A10" t="s" s="20">
        <v>18</v>
      </c>
      <c r="B10" s="21">
        <v>120</v>
      </c>
      <c r="C10" t="s" s="41">
        <v>19</v>
      </c>
      <c r="D10" s="23">
        <v>0</v>
      </c>
      <c r="E10" s="28">
        <v>31</v>
      </c>
      <c r="F10" s="28">
        <v>30</v>
      </c>
      <c r="G10" s="28">
        <v>28</v>
      </c>
      <c r="H10" s="28">
        <v>31</v>
      </c>
      <c r="I10" s="28">
        <v>30</v>
      </c>
      <c r="J10" s="28">
        <v>31</v>
      </c>
      <c r="K10" s="28">
        <v>30</v>
      </c>
      <c r="L10" s="28">
        <v>31</v>
      </c>
      <c r="M10" s="28">
        <v>30</v>
      </c>
      <c r="N10" s="28">
        <v>31</v>
      </c>
      <c r="O10" s="42"/>
      <c r="P10" s="25"/>
    </row>
    <row r="11" ht="15.35" customHeight="1">
      <c r="A11" t="s" s="20">
        <v>20</v>
      </c>
      <c r="B11" s="21">
        <v>44</v>
      </c>
      <c r="C11" s="22">
        <v>500</v>
      </c>
      <c r="D11" s="23">
        <v>22000</v>
      </c>
      <c r="E11" s="40">
        <v>2500</v>
      </c>
      <c r="F11" s="40">
        <v>2500</v>
      </c>
      <c r="G11" s="40">
        <v>2500</v>
      </c>
      <c r="H11" s="40">
        <v>2500</v>
      </c>
      <c r="I11" s="40">
        <v>2500</v>
      </c>
      <c r="J11" s="40">
        <v>2500</v>
      </c>
      <c r="K11" s="40">
        <v>2500</v>
      </c>
      <c r="L11" s="40">
        <v>2500</v>
      </c>
      <c r="M11" s="40">
        <v>2500</v>
      </c>
      <c r="N11" s="40">
        <v>2500</v>
      </c>
      <c r="O11" s="42"/>
      <c r="P11" t="s" s="30">
        <v>21</v>
      </c>
    </row>
    <row r="12" ht="15.35" customHeight="1">
      <c r="A12" t="s" s="20">
        <v>22</v>
      </c>
      <c r="B12" s="21">
        <v>330</v>
      </c>
      <c r="C12" s="22"/>
      <c r="D12" s="23">
        <v>21000</v>
      </c>
      <c r="E12" s="40">
        <v>1000</v>
      </c>
      <c r="F12" s="40">
        <v>1000</v>
      </c>
      <c r="G12" s="40">
        <v>1500</v>
      </c>
      <c r="H12" s="40">
        <v>2500</v>
      </c>
      <c r="I12" s="40">
        <v>2500</v>
      </c>
      <c r="J12" s="40">
        <v>2500</v>
      </c>
      <c r="K12" s="40">
        <v>2500</v>
      </c>
      <c r="L12" s="40">
        <v>2500</v>
      </c>
      <c r="M12" s="40">
        <v>2500</v>
      </c>
      <c r="N12" s="40">
        <v>2500</v>
      </c>
      <c r="O12" s="42"/>
      <c r="P12" t="s" s="30">
        <v>23</v>
      </c>
    </row>
    <row r="13" ht="15.35" customHeight="1">
      <c r="A13" t="s" s="20">
        <v>24</v>
      </c>
      <c r="B13" s="43">
        <v>200000</v>
      </c>
      <c r="C13" s="22"/>
      <c r="D13" s="23">
        <v>20000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t="s" s="30">
        <v>25</v>
      </c>
    </row>
    <row r="14" ht="16.5" customHeight="1">
      <c r="A14" t="s" s="20">
        <v>26</v>
      </c>
      <c r="B14" s="43">
        <v>100000</v>
      </c>
      <c r="C14" s="22"/>
      <c r="D14" s="27">
        <v>25000</v>
      </c>
      <c r="E14" s="40"/>
      <c r="F14" s="40"/>
      <c r="G14" s="40"/>
      <c r="H14" s="40"/>
      <c r="I14" s="40">
        <v>30000</v>
      </c>
      <c r="J14" s="40">
        <v>50000</v>
      </c>
      <c r="K14" s="40">
        <v>50000</v>
      </c>
      <c r="L14" s="40">
        <v>50000</v>
      </c>
      <c r="M14" s="40">
        <v>50000</v>
      </c>
      <c r="N14" s="40">
        <v>50000</v>
      </c>
      <c r="O14" s="29"/>
      <c r="P14" t="s" s="45">
        <v>27</v>
      </c>
    </row>
    <row r="15" ht="19.5" customHeight="1">
      <c r="A15" s="46"/>
      <c r="B15" s="47"/>
      <c r="C15" s="48"/>
      <c r="D15" s="34" cm="1">
        <f t="array" ref="D15">SUM(D9:D14)</f>
        <v>133000</v>
      </c>
      <c r="E15" s="35">
        <v>1</v>
      </c>
      <c r="F15" s="36">
        <v>2</v>
      </c>
      <c r="G15" s="36">
        <v>3</v>
      </c>
      <c r="H15" s="36">
        <v>4</v>
      </c>
      <c r="I15" s="36">
        <v>5</v>
      </c>
      <c r="J15" s="36">
        <v>6</v>
      </c>
      <c r="K15" s="36">
        <v>7</v>
      </c>
      <c r="L15" s="36">
        <v>8</v>
      </c>
      <c r="M15" s="36">
        <v>9</v>
      </c>
      <c r="N15" s="36">
        <v>10</v>
      </c>
      <c r="O15" t="s" s="37">
        <v>7</v>
      </c>
      <c r="P15" s="49"/>
    </row>
    <row r="16" ht="15.85" customHeight="1">
      <c r="A16" t="s" s="17">
        <v>28</v>
      </c>
      <c r="B16" t="s" s="18">
        <v>9</v>
      </c>
      <c r="C16" t="s" s="18">
        <v>10</v>
      </c>
      <c r="D16" t="s" s="38">
        <v>11</v>
      </c>
      <c r="E16" s="19">
        <v>44531</v>
      </c>
      <c r="F16" s="19">
        <v>44562</v>
      </c>
      <c r="G16" s="19">
        <v>44593</v>
      </c>
      <c r="H16" s="19">
        <v>44621</v>
      </c>
      <c r="I16" s="19">
        <v>44652</v>
      </c>
      <c r="J16" s="19">
        <v>44682</v>
      </c>
      <c r="K16" s="19">
        <v>44713</v>
      </c>
      <c r="L16" s="19">
        <v>44743</v>
      </c>
      <c r="M16" s="19">
        <v>44774</v>
      </c>
      <c r="N16" s="19">
        <v>44805</v>
      </c>
      <c r="O16" s="19">
        <v>44835</v>
      </c>
      <c r="P16" s="50"/>
    </row>
    <row r="17" ht="15.35" customHeight="1">
      <c r="A17" t="s" s="20">
        <v>29</v>
      </c>
      <c r="B17" s="21">
        <v>1</v>
      </c>
      <c r="C17" s="22">
        <v>15000</v>
      </c>
      <c r="D17" s="22">
        <v>15000</v>
      </c>
      <c r="E17" s="44"/>
      <c r="F17" s="44"/>
      <c r="G17" s="44"/>
      <c r="H17" s="39"/>
      <c r="I17" s="39"/>
      <c r="J17" s="39"/>
      <c r="K17" s="39"/>
      <c r="L17" s="39"/>
      <c r="M17" s="39"/>
      <c r="N17" s="39"/>
      <c r="O17" s="26"/>
      <c r="P17" s="25"/>
    </row>
    <row r="18" ht="15.35" customHeight="1">
      <c r="A18" t="s" s="20">
        <v>30</v>
      </c>
      <c r="B18" s="51"/>
      <c r="C18" s="22"/>
      <c r="D18" s="22"/>
      <c r="E18" s="44"/>
      <c r="F18" s="39"/>
      <c r="G18" s="39"/>
      <c r="H18" s="44"/>
      <c r="I18" s="39"/>
      <c r="J18" s="39"/>
      <c r="K18" s="44"/>
      <c r="L18" s="39"/>
      <c r="M18" s="44"/>
      <c r="N18" s="44"/>
      <c r="O18" s="42"/>
      <c r="P18" s="25"/>
    </row>
    <row r="19" ht="15.35" customHeight="1">
      <c r="A19" t="s" s="20">
        <v>31</v>
      </c>
      <c r="B19" s="51"/>
      <c r="C19" s="22"/>
      <c r="D19" s="22"/>
      <c r="E19" s="39"/>
      <c r="F19" s="39"/>
      <c r="G19" s="39"/>
      <c r="H19" s="44"/>
      <c r="I19" s="44"/>
      <c r="J19" s="44"/>
      <c r="K19" s="44"/>
      <c r="L19" s="44"/>
      <c r="M19" s="44"/>
      <c r="N19" s="44"/>
      <c r="O19" s="42"/>
      <c r="P19" s="25"/>
    </row>
    <row r="20" ht="16.5" customHeight="1">
      <c r="A20" t="s" s="20">
        <v>32</v>
      </c>
      <c r="B20" s="51"/>
      <c r="C20" s="22"/>
      <c r="D20" s="52"/>
      <c r="E20" s="39"/>
      <c r="F20" s="39"/>
      <c r="G20" s="39"/>
      <c r="H20" s="39"/>
      <c r="I20" s="39"/>
      <c r="J20" s="39"/>
      <c r="K20" s="39"/>
      <c r="L20" s="39"/>
      <c r="M20" s="44"/>
      <c r="N20" s="44"/>
      <c r="O20" s="29"/>
      <c r="P20" s="25"/>
    </row>
    <row r="21" ht="19.5" customHeight="1">
      <c r="A21" s="31"/>
      <c r="B21" s="32"/>
      <c r="C21" s="33"/>
      <c r="D21" s="34" cm="1">
        <f t="array" ref="D21">SUM(D17:D20)</f>
        <v>15000</v>
      </c>
      <c r="E21" s="35">
        <v>1</v>
      </c>
      <c r="F21" s="36">
        <v>2</v>
      </c>
      <c r="G21" s="36">
        <v>3</v>
      </c>
      <c r="H21" s="36">
        <v>4</v>
      </c>
      <c r="I21" s="36">
        <v>5</v>
      </c>
      <c r="J21" s="36">
        <v>6</v>
      </c>
      <c r="K21" s="36">
        <v>7</v>
      </c>
      <c r="L21" s="36">
        <v>8</v>
      </c>
      <c r="M21" s="36">
        <v>9</v>
      </c>
      <c r="N21" s="36">
        <v>10</v>
      </c>
      <c r="O21" t="s" s="37">
        <v>7</v>
      </c>
      <c r="P21" s="16"/>
    </row>
    <row r="22" ht="15.85" customHeight="1">
      <c r="A22" t="s" s="17">
        <v>33</v>
      </c>
      <c r="B22" t="s" s="18">
        <v>9</v>
      </c>
      <c r="C22" t="s" s="18">
        <v>10</v>
      </c>
      <c r="D22" t="s" s="38">
        <v>34</v>
      </c>
      <c r="E22" s="19">
        <v>44531</v>
      </c>
      <c r="F22" s="19">
        <v>44562</v>
      </c>
      <c r="G22" s="19">
        <v>44593</v>
      </c>
      <c r="H22" s="19">
        <v>44621</v>
      </c>
      <c r="I22" s="19">
        <v>44652</v>
      </c>
      <c r="J22" s="19">
        <v>44682</v>
      </c>
      <c r="K22" s="19">
        <v>44713</v>
      </c>
      <c r="L22" s="19">
        <v>44743</v>
      </c>
      <c r="M22" s="19">
        <v>44774</v>
      </c>
      <c r="N22" s="19">
        <v>44805</v>
      </c>
      <c r="O22" s="19">
        <v>44835</v>
      </c>
      <c r="P22" s="16"/>
    </row>
    <row r="23" ht="16.5" customHeight="1">
      <c r="A23" t="s" s="53">
        <v>35</v>
      </c>
      <c r="B23" s="54">
        <v>1</v>
      </c>
      <c r="C23" s="52">
        <v>1500</v>
      </c>
      <c r="D23" s="27">
        <v>3000</v>
      </c>
      <c r="E23" s="55"/>
      <c r="F23" s="55"/>
      <c r="G23" s="55"/>
      <c r="H23" s="55"/>
      <c r="I23" s="55"/>
      <c r="J23" s="55"/>
      <c r="K23" s="55"/>
      <c r="L23" s="55"/>
      <c r="M23" s="56"/>
      <c r="N23" s="56"/>
      <c r="O23" s="55"/>
      <c r="P23" s="25"/>
    </row>
    <row r="24" ht="15.85" customHeight="1">
      <c r="A24" t="s" s="57">
        <v>36</v>
      </c>
      <c r="B24" s="58"/>
      <c r="C24" s="59"/>
      <c r="D24" s="60"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3"/>
    </row>
    <row r="25" ht="15.35" customHeight="1">
      <c r="A25" t="s" s="64">
        <v>37</v>
      </c>
      <c r="B25" s="65">
        <v>60</v>
      </c>
      <c r="C25" s="66">
        <v>3000</v>
      </c>
      <c r="D25" s="23">
        <v>180000</v>
      </c>
      <c r="E25" s="67"/>
      <c r="F25" s="67"/>
      <c r="G25" s="65">
        <v>0</v>
      </c>
      <c r="H25" s="65">
        <v>0</v>
      </c>
      <c r="I25" s="65">
        <v>10</v>
      </c>
      <c r="J25" s="65">
        <v>10</v>
      </c>
      <c r="K25" s="65">
        <v>10</v>
      </c>
      <c r="L25" s="65">
        <v>10</v>
      </c>
      <c r="M25" s="65">
        <v>10</v>
      </c>
      <c r="N25" s="65">
        <v>10</v>
      </c>
      <c r="O25" s="68"/>
      <c r="P25" t="s" s="69">
        <v>38</v>
      </c>
    </row>
    <row r="26" ht="15.35" customHeight="1">
      <c r="A26" t="s" s="64">
        <v>39</v>
      </c>
      <c r="B26" s="65">
        <v>60</v>
      </c>
      <c r="C26" s="66">
        <v>2000</v>
      </c>
      <c r="D26" s="23">
        <v>120000</v>
      </c>
      <c r="E26" s="67"/>
      <c r="F26" s="67"/>
      <c r="G26" s="67"/>
      <c r="H26" s="67"/>
      <c r="I26" s="65">
        <v>10</v>
      </c>
      <c r="J26" s="65">
        <v>10</v>
      </c>
      <c r="K26" s="65">
        <v>10</v>
      </c>
      <c r="L26" s="65">
        <v>10</v>
      </c>
      <c r="M26" s="65">
        <v>10</v>
      </c>
      <c r="N26" s="65">
        <v>10</v>
      </c>
      <c r="O26" s="70"/>
      <c r="P26" t="s" s="69">
        <v>40</v>
      </c>
    </row>
    <row r="27" ht="16.5" customHeight="1">
      <c r="A27" t="s" s="71">
        <v>41</v>
      </c>
      <c r="B27" s="72">
        <v>700</v>
      </c>
      <c r="C27" s="73">
        <v>700</v>
      </c>
      <c r="D27" s="27">
        <v>490000</v>
      </c>
      <c r="E27" s="72">
        <v>10</v>
      </c>
      <c r="F27" s="72">
        <v>10</v>
      </c>
      <c r="G27" s="72">
        <v>10</v>
      </c>
      <c r="H27" s="72">
        <v>10</v>
      </c>
      <c r="I27" s="72">
        <v>20</v>
      </c>
      <c r="J27" s="72">
        <v>20</v>
      </c>
      <c r="K27" s="72">
        <v>20</v>
      </c>
      <c r="L27" s="72">
        <v>200</v>
      </c>
      <c r="M27" s="72">
        <v>200</v>
      </c>
      <c r="N27" s="72">
        <v>200</v>
      </c>
      <c r="O27" s="74">
        <v>100</v>
      </c>
      <c r="P27" s="63"/>
    </row>
    <row r="28" ht="15.85" customHeight="1">
      <c r="A28" t="s" s="75">
        <v>42</v>
      </c>
      <c r="B28" s="76">
        <v>360</v>
      </c>
      <c r="C28" s="59">
        <v>25</v>
      </c>
      <c r="D28" s="60">
        <v>9000</v>
      </c>
      <c r="E28" s="61"/>
      <c r="F28" s="61"/>
      <c r="G28" s="61"/>
      <c r="H28" s="61"/>
      <c r="I28" s="77">
        <v>20</v>
      </c>
      <c r="J28" s="77">
        <v>20</v>
      </c>
      <c r="K28" s="77">
        <v>20</v>
      </c>
      <c r="L28" s="77">
        <v>100</v>
      </c>
      <c r="M28" s="77">
        <v>100</v>
      </c>
      <c r="N28" s="77">
        <v>100</v>
      </c>
      <c r="O28" s="78"/>
      <c r="P28" s="25"/>
    </row>
    <row r="29" ht="15.35" customHeight="1">
      <c r="A29" t="s" s="20">
        <v>43</v>
      </c>
      <c r="B29" s="21">
        <v>27</v>
      </c>
      <c r="C29" s="22">
        <v>25</v>
      </c>
      <c r="D29" s="23">
        <v>675</v>
      </c>
      <c r="E29" s="39"/>
      <c r="F29" s="28">
        <v>2</v>
      </c>
      <c r="G29" s="28">
        <v>2</v>
      </c>
      <c r="H29" s="28">
        <v>2</v>
      </c>
      <c r="I29" s="28">
        <v>2</v>
      </c>
      <c r="J29" s="28">
        <v>2</v>
      </c>
      <c r="K29" s="28">
        <v>2</v>
      </c>
      <c r="L29" s="28">
        <v>5</v>
      </c>
      <c r="M29" s="28">
        <v>5</v>
      </c>
      <c r="N29" s="28">
        <v>5</v>
      </c>
      <c r="O29" s="79">
        <v>5</v>
      </c>
      <c r="P29" s="25"/>
    </row>
    <row r="30" ht="15.35" customHeight="1">
      <c r="A30" t="s" s="20">
        <v>44</v>
      </c>
      <c r="B30" s="21">
        <v>8</v>
      </c>
      <c r="C30" s="22">
        <v>4000</v>
      </c>
      <c r="D30" s="23">
        <v>32000</v>
      </c>
      <c r="E30" s="39"/>
      <c r="F30" s="39"/>
      <c r="G30" s="39"/>
      <c r="H30" s="39"/>
      <c r="I30" s="39"/>
      <c r="J30" s="39"/>
      <c r="K30" s="39"/>
      <c r="L30" s="39"/>
      <c r="M30" s="28">
        <v>8</v>
      </c>
      <c r="N30" s="28">
        <v>8</v>
      </c>
      <c r="O30" s="80"/>
      <c r="P30" s="25"/>
    </row>
    <row r="31" ht="15.35" customHeight="1">
      <c r="A31" t="s" s="20">
        <v>45</v>
      </c>
      <c r="B31" s="21">
        <v>7</v>
      </c>
      <c r="C31" s="22">
        <v>6000</v>
      </c>
      <c r="D31" s="23">
        <v>24000</v>
      </c>
      <c r="E31" s="39"/>
      <c r="F31" s="39"/>
      <c r="G31" s="39"/>
      <c r="H31" s="39"/>
      <c r="I31" s="39"/>
      <c r="J31" s="28">
        <v>1</v>
      </c>
      <c r="K31" s="28">
        <v>1</v>
      </c>
      <c r="L31" s="28">
        <v>1</v>
      </c>
      <c r="M31" s="28">
        <v>2</v>
      </c>
      <c r="N31" s="28">
        <v>2</v>
      </c>
      <c r="O31" s="80"/>
      <c r="P31" s="25"/>
    </row>
    <row r="32" ht="15.35" customHeight="1">
      <c r="A32" t="s" s="20">
        <v>46</v>
      </c>
      <c r="B32" t="s" s="41">
        <v>47</v>
      </c>
      <c r="C32" s="22"/>
      <c r="D32" s="23"/>
      <c r="E32" s="39"/>
      <c r="F32" s="39"/>
      <c r="G32" s="39"/>
      <c r="H32" s="39"/>
      <c r="I32" s="39"/>
      <c r="J32" s="39"/>
      <c r="K32" s="39"/>
      <c r="L32" s="44"/>
      <c r="M32" s="44"/>
      <c r="N32" s="44"/>
      <c r="O32" s="80"/>
      <c r="P32" t="s" s="30">
        <v>48</v>
      </c>
    </row>
    <row r="33" ht="15.35" customHeight="1">
      <c r="A33" t="s" s="20">
        <v>49</v>
      </c>
      <c r="B33" s="21">
        <v>200</v>
      </c>
      <c r="C33" s="22">
        <v>25</v>
      </c>
      <c r="D33" s="23">
        <v>5000</v>
      </c>
      <c r="E33" s="39"/>
      <c r="F33" s="39"/>
      <c r="G33" s="39"/>
      <c r="H33" s="39"/>
      <c r="I33" s="39"/>
      <c r="J33" s="39"/>
      <c r="K33" s="39"/>
      <c r="L33" s="39"/>
      <c r="M33" s="44"/>
      <c r="N33" s="44"/>
      <c r="O33" s="80"/>
      <c r="P33" s="25"/>
    </row>
    <row r="34" ht="15.35" customHeight="1">
      <c r="A34" t="s" s="20">
        <v>50</v>
      </c>
      <c r="B34" s="21">
        <v>5</v>
      </c>
      <c r="C34" s="22"/>
      <c r="D34" s="23"/>
      <c r="E34" s="39"/>
      <c r="F34" s="39"/>
      <c r="G34" s="39"/>
      <c r="H34" s="39"/>
      <c r="I34" s="39"/>
      <c r="J34" s="39"/>
      <c r="K34" s="44"/>
      <c r="L34" s="44"/>
      <c r="M34" s="44"/>
      <c r="N34" s="44"/>
      <c r="O34" s="26"/>
      <c r="P34" t="s" s="30">
        <v>51</v>
      </c>
    </row>
    <row r="35" ht="15.35" customHeight="1">
      <c r="A35" t="s" s="20">
        <v>52</v>
      </c>
      <c r="B35" s="21">
        <v>6</v>
      </c>
      <c r="C35" s="22">
        <v>3500</v>
      </c>
      <c r="D35" s="23"/>
      <c r="E35" s="39"/>
      <c r="F35" s="39"/>
      <c r="G35" s="39"/>
      <c r="H35" s="39"/>
      <c r="I35" s="39"/>
      <c r="J35" s="39"/>
      <c r="K35" s="39"/>
      <c r="L35" s="39"/>
      <c r="M35" s="39"/>
      <c r="N35" s="44"/>
      <c r="O35" s="42"/>
      <c r="P35" s="25"/>
    </row>
    <row r="36" ht="15.35" customHeight="1">
      <c r="A36" t="s" s="20">
        <v>53</v>
      </c>
      <c r="B36" s="21">
        <v>1</v>
      </c>
      <c r="C36" s="22">
        <v>15000</v>
      </c>
      <c r="D36" s="23"/>
      <c r="E36" s="39"/>
      <c r="F36" s="39"/>
      <c r="G36" s="39"/>
      <c r="H36" s="39"/>
      <c r="I36" s="39"/>
      <c r="J36" s="39"/>
      <c r="K36" s="39"/>
      <c r="L36" s="39"/>
      <c r="M36" s="44"/>
      <c r="N36" s="44"/>
      <c r="O36" s="42"/>
      <c r="P36" s="25"/>
    </row>
    <row r="37" ht="15.35" customHeight="1">
      <c r="A37" t="s" s="20">
        <v>54</v>
      </c>
      <c r="B37" s="21">
        <v>4</v>
      </c>
      <c r="C37" s="22">
        <v>850</v>
      </c>
      <c r="D37" s="23">
        <v>3400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2"/>
      <c r="P37" s="25"/>
    </row>
    <row r="38" ht="15.35" customHeight="1">
      <c r="A38" t="s" s="20">
        <v>55</v>
      </c>
      <c r="B38" s="21">
        <v>2</v>
      </c>
      <c r="C38" s="22">
        <v>2000</v>
      </c>
      <c r="D38" s="23">
        <v>4000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2"/>
      <c r="P38" s="25"/>
    </row>
    <row r="39" ht="16.5" customHeight="1">
      <c r="A39" t="s" s="20">
        <v>56</v>
      </c>
      <c r="B39" s="21">
        <v>200</v>
      </c>
      <c r="C39" s="22">
        <v>15</v>
      </c>
      <c r="D39" s="27">
        <v>3000</v>
      </c>
      <c r="E39" s="39"/>
      <c r="F39" s="39"/>
      <c r="G39" s="39"/>
      <c r="H39" s="39"/>
      <c r="I39" s="39"/>
      <c r="J39" s="39"/>
      <c r="K39" s="39"/>
      <c r="L39" s="39"/>
      <c r="M39" s="39"/>
      <c r="N39" s="44"/>
      <c r="O39" s="29"/>
      <c r="P39" s="25"/>
    </row>
    <row r="40" ht="19.5" customHeight="1">
      <c r="A40" s="31"/>
      <c r="B40" s="32"/>
      <c r="C40" s="33"/>
      <c r="D40" s="34" cm="1">
        <f t="array" ref="D40">SUM(D23:D39)</f>
        <v>874075</v>
      </c>
      <c r="E40" s="35">
        <v>1</v>
      </c>
      <c r="F40" s="36">
        <v>2</v>
      </c>
      <c r="G40" s="36">
        <v>3</v>
      </c>
      <c r="H40" s="36">
        <v>4</v>
      </c>
      <c r="I40" s="36">
        <v>5</v>
      </c>
      <c r="J40" s="36">
        <v>6</v>
      </c>
      <c r="K40" s="36">
        <v>7</v>
      </c>
      <c r="L40" s="36">
        <v>8</v>
      </c>
      <c r="M40" s="36">
        <v>9</v>
      </c>
      <c r="N40" s="36">
        <v>10</v>
      </c>
      <c r="O40" t="s" s="37">
        <v>7</v>
      </c>
      <c r="P40" s="16"/>
    </row>
    <row r="41" ht="15.85" customHeight="1">
      <c r="A41" t="s" s="17">
        <v>57</v>
      </c>
      <c r="B41" t="s" s="18">
        <v>9</v>
      </c>
      <c r="C41" t="s" s="18">
        <v>10</v>
      </c>
      <c r="D41" t="s" s="38">
        <v>11</v>
      </c>
      <c r="E41" s="19">
        <v>44531</v>
      </c>
      <c r="F41" s="19">
        <v>44562</v>
      </c>
      <c r="G41" s="19">
        <v>44593</v>
      </c>
      <c r="H41" s="19">
        <v>44621</v>
      </c>
      <c r="I41" s="19">
        <v>44652</v>
      </c>
      <c r="J41" s="19">
        <v>44682</v>
      </c>
      <c r="K41" s="19">
        <v>44713</v>
      </c>
      <c r="L41" s="19">
        <v>44743</v>
      </c>
      <c r="M41" s="19">
        <v>44774</v>
      </c>
      <c r="N41" s="19">
        <v>44805</v>
      </c>
      <c r="O41" s="19">
        <v>44835</v>
      </c>
      <c r="P41" s="16"/>
    </row>
    <row r="42" ht="15.35" customHeight="1">
      <c r="A42" t="s" s="20">
        <v>58</v>
      </c>
      <c r="B42" s="43">
        <v>30000</v>
      </c>
      <c r="C42" s="22"/>
      <c r="D42" s="23"/>
      <c r="E42" s="39"/>
      <c r="F42" s="39"/>
      <c r="G42" s="39"/>
      <c r="H42" s="39"/>
      <c r="I42" s="39"/>
      <c r="J42" s="40">
        <v>10000</v>
      </c>
      <c r="K42" s="40">
        <v>10000</v>
      </c>
      <c r="L42" s="40">
        <v>10000</v>
      </c>
      <c r="M42" s="39"/>
      <c r="N42" s="39"/>
      <c r="O42" s="26"/>
      <c r="P42" t="s" s="30">
        <v>59</v>
      </c>
    </row>
    <row r="43" ht="15.35" customHeight="1">
      <c r="A43" t="s" s="20">
        <v>60</v>
      </c>
      <c r="B43" s="43">
        <v>50000</v>
      </c>
      <c r="C43" s="22"/>
      <c r="D43" s="23"/>
      <c r="E43" s="39"/>
      <c r="F43" s="39"/>
      <c r="G43" s="39"/>
      <c r="H43" s="39"/>
      <c r="I43" s="39"/>
      <c r="J43" s="39"/>
      <c r="K43" s="39"/>
      <c r="L43" s="39"/>
      <c r="M43" s="40">
        <v>30000</v>
      </c>
      <c r="N43" s="40">
        <v>300000</v>
      </c>
      <c r="O43" s="42"/>
      <c r="P43" t="s" s="30">
        <v>61</v>
      </c>
    </row>
    <row r="44" ht="15.35" customHeight="1">
      <c r="A44" t="s" s="20">
        <v>62</v>
      </c>
      <c r="B44" s="43">
        <v>250000</v>
      </c>
      <c r="C44" s="22"/>
      <c r="D44" s="23"/>
      <c r="E44" s="39"/>
      <c r="F44" s="39"/>
      <c r="G44" s="39"/>
      <c r="H44" s="39"/>
      <c r="I44" s="39"/>
      <c r="J44" s="39"/>
      <c r="K44" s="39"/>
      <c r="L44" s="39"/>
      <c r="M44" s="40">
        <v>125000</v>
      </c>
      <c r="N44" s="40">
        <v>125000</v>
      </c>
      <c r="O44" s="42"/>
      <c r="P44" s="25"/>
    </row>
    <row r="45" ht="15.35" customHeight="1">
      <c r="A45" t="s" s="20">
        <v>63</v>
      </c>
      <c r="B45" s="43">
        <v>20000</v>
      </c>
      <c r="C45" s="22"/>
      <c r="D45" s="23"/>
      <c r="E45" s="39"/>
      <c r="F45" s="39"/>
      <c r="G45" s="39"/>
      <c r="H45" s="39"/>
      <c r="I45" s="39"/>
      <c r="J45" s="39"/>
      <c r="K45" s="39"/>
      <c r="L45" s="39"/>
      <c r="M45" s="40">
        <v>10000</v>
      </c>
      <c r="N45" s="40">
        <v>10000</v>
      </c>
      <c r="O45" s="29"/>
      <c r="P45" s="25"/>
    </row>
    <row r="46" ht="15.35" customHeight="1">
      <c r="A46" t="s" s="20">
        <v>64</v>
      </c>
      <c r="B46" s="43">
        <v>500000</v>
      </c>
      <c r="C46" s="22"/>
      <c r="D46" s="23"/>
      <c r="E46" s="39"/>
      <c r="F46" s="39"/>
      <c r="G46" s="39"/>
      <c r="H46" s="39"/>
      <c r="I46" s="39"/>
      <c r="J46" s="39"/>
      <c r="K46" s="39"/>
      <c r="L46" s="39"/>
      <c r="M46" s="44"/>
      <c r="N46" s="44"/>
      <c r="O46" s="81"/>
      <c r="P46" s="25"/>
    </row>
    <row r="47" ht="15.35" customHeight="1">
      <c r="A47" t="s" s="20">
        <v>65</v>
      </c>
      <c r="B47" s="43">
        <v>2000</v>
      </c>
      <c r="C47" s="22"/>
      <c r="D47" s="23"/>
      <c r="E47" s="39"/>
      <c r="F47" s="39"/>
      <c r="G47" s="39"/>
      <c r="H47" s="39"/>
      <c r="I47" s="39"/>
      <c r="J47" s="39"/>
      <c r="K47" s="39"/>
      <c r="L47" s="39"/>
      <c r="M47" s="40">
        <v>1000</v>
      </c>
      <c r="N47" s="40">
        <v>1000</v>
      </c>
      <c r="O47" s="26"/>
      <c r="P47" t="s" s="30">
        <v>66</v>
      </c>
    </row>
    <row r="48" ht="15.35" customHeight="1">
      <c r="A48" t="s" s="20">
        <v>67</v>
      </c>
      <c r="B48" s="21">
        <v>100</v>
      </c>
      <c r="C48" s="22"/>
      <c r="D48" s="23"/>
      <c r="E48" s="39"/>
      <c r="F48" s="39"/>
      <c r="G48" s="39"/>
      <c r="H48" s="39"/>
      <c r="I48" s="39"/>
      <c r="J48" s="39"/>
      <c r="K48" s="39"/>
      <c r="L48" s="39"/>
      <c r="M48" s="44"/>
      <c r="N48" s="44"/>
      <c r="O48" s="42"/>
      <c r="P48" s="25"/>
    </row>
    <row r="49" ht="15.35" customHeight="1">
      <c r="A49" t="s" s="20">
        <v>68</v>
      </c>
      <c r="B49" s="43">
        <v>5000</v>
      </c>
      <c r="C49" s="22"/>
      <c r="D49" s="23"/>
      <c r="E49" s="39"/>
      <c r="F49" s="39"/>
      <c r="G49" s="39"/>
      <c r="H49" s="39"/>
      <c r="I49" s="39"/>
      <c r="J49" s="39"/>
      <c r="K49" s="39"/>
      <c r="L49" s="39"/>
      <c r="M49" s="44"/>
      <c r="N49" s="44"/>
      <c r="O49" s="42"/>
      <c r="P49" s="25"/>
    </row>
    <row r="50" ht="16.5" customHeight="1">
      <c r="A50" t="s" s="20">
        <v>69</v>
      </c>
      <c r="B50" s="43">
        <v>500</v>
      </c>
      <c r="C50" s="22"/>
      <c r="D50" s="27"/>
      <c r="E50" s="39"/>
      <c r="F50" s="39"/>
      <c r="G50" s="39"/>
      <c r="H50" s="39"/>
      <c r="I50" s="39"/>
      <c r="J50" s="39"/>
      <c r="K50" s="39"/>
      <c r="L50" s="39"/>
      <c r="M50" s="44"/>
      <c r="N50" s="44"/>
      <c r="O50" s="29"/>
      <c r="P50" s="25"/>
    </row>
    <row r="51" ht="19.5" customHeight="1">
      <c r="A51" s="31"/>
      <c r="B51" s="32"/>
      <c r="C51" s="33"/>
      <c r="D51" s="82">
        <v>50000</v>
      </c>
      <c r="E51" s="35">
        <v>1</v>
      </c>
      <c r="F51" s="36">
        <v>2</v>
      </c>
      <c r="G51" s="36">
        <v>3</v>
      </c>
      <c r="H51" s="36">
        <v>4</v>
      </c>
      <c r="I51" s="36">
        <v>5</v>
      </c>
      <c r="J51" s="36">
        <v>6</v>
      </c>
      <c r="K51" s="36">
        <v>7</v>
      </c>
      <c r="L51" s="36">
        <v>8</v>
      </c>
      <c r="M51" s="36">
        <v>9</v>
      </c>
      <c r="N51" s="36">
        <v>10</v>
      </c>
      <c r="O51" t="s" s="37">
        <v>7</v>
      </c>
      <c r="P51" s="16"/>
    </row>
    <row r="52" ht="15.85" customHeight="1">
      <c r="A52" t="s" s="17">
        <v>70</v>
      </c>
      <c r="B52" t="s" s="18">
        <v>9</v>
      </c>
      <c r="C52" t="s" s="18">
        <v>10</v>
      </c>
      <c r="D52" t="s" s="38">
        <v>11</v>
      </c>
      <c r="E52" s="19">
        <v>44531</v>
      </c>
      <c r="F52" s="19">
        <v>44562</v>
      </c>
      <c r="G52" s="19">
        <v>44593</v>
      </c>
      <c r="H52" s="19">
        <v>44621</v>
      </c>
      <c r="I52" s="19">
        <v>44652</v>
      </c>
      <c r="J52" s="19">
        <v>44682</v>
      </c>
      <c r="K52" s="19">
        <v>44713</v>
      </c>
      <c r="L52" s="19">
        <v>44743</v>
      </c>
      <c r="M52" s="19">
        <v>44774</v>
      </c>
      <c r="N52" s="19">
        <v>44805</v>
      </c>
      <c r="O52" s="19">
        <v>44835</v>
      </c>
      <c r="P52" s="16"/>
    </row>
    <row r="53" ht="15.35" customHeight="1">
      <c r="A53" t="s" s="20">
        <v>71</v>
      </c>
      <c r="B53" s="21">
        <v>55</v>
      </c>
      <c r="C53" s="22">
        <v>0</v>
      </c>
      <c r="D53" s="23"/>
      <c r="E53" s="83">
        <v>4</v>
      </c>
      <c r="F53" s="83">
        <v>4</v>
      </c>
      <c r="G53" s="83">
        <v>4</v>
      </c>
      <c r="H53" s="83">
        <v>4</v>
      </c>
      <c r="I53" s="83">
        <v>4</v>
      </c>
      <c r="J53" s="28">
        <v>16</v>
      </c>
      <c r="K53" s="28">
        <v>16</v>
      </c>
      <c r="L53" s="28">
        <v>16</v>
      </c>
      <c r="M53" s="28">
        <v>16</v>
      </c>
      <c r="N53" s="28">
        <v>16</v>
      </c>
      <c r="O53" s="39"/>
      <c r="P53" t="s" s="30">
        <v>72</v>
      </c>
    </row>
    <row r="54" ht="15.35" customHeight="1">
      <c r="A54" t="s" s="84">
        <v>73</v>
      </c>
      <c r="B54" s="85">
        <v>21</v>
      </c>
      <c r="C54" s="86">
        <v>1500</v>
      </c>
      <c r="D54" s="23" cm="1">
        <f t="array" ref="D54">B54*C54</f>
        <v>31500</v>
      </c>
      <c r="E54" s="85">
        <v>1</v>
      </c>
      <c r="F54" s="85">
        <v>1</v>
      </c>
      <c r="G54" s="85">
        <v>1</v>
      </c>
      <c r="H54" s="85">
        <v>1</v>
      </c>
      <c r="I54" s="85">
        <v>1</v>
      </c>
      <c r="J54" s="85">
        <v>4</v>
      </c>
      <c r="K54" s="85">
        <v>4</v>
      </c>
      <c r="L54" s="85">
        <v>4</v>
      </c>
      <c r="M54" s="85">
        <v>4</v>
      </c>
      <c r="N54" s="85">
        <v>4</v>
      </c>
      <c r="O54" s="39"/>
      <c r="P54" s="25"/>
    </row>
    <row r="55" ht="15.35" customHeight="1">
      <c r="A55" t="s" s="84">
        <v>74</v>
      </c>
      <c r="B55" s="85">
        <v>21</v>
      </c>
      <c r="C55" s="86">
        <v>1500</v>
      </c>
      <c r="D55" s="23" cm="1">
        <f t="array" ref="D55">B55*C55</f>
        <v>31500</v>
      </c>
      <c r="E55" s="85">
        <v>1</v>
      </c>
      <c r="F55" s="85">
        <v>1</v>
      </c>
      <c r="G55" s="85">
        <v>1</v>
      </c>
      <c r="H55" s="85">
        <v>1</v>
      </c>
      <c r="I55" s="85">
        <v>1</v>
      </c>
      <c r="J55" s="85">
        <v>4</v>
      </c>
      <c r="K55" s="85">
        <v>4</v>
      </c>
      <c r="L55" s="85">
        <v>4</v>
      </c>
      <c r="M55" s="85">
        <v>4</v>
      </c>
      <c r="N55" s="85">
        <v>4</v>
      </c>
      <c r="O55" s="39"/>
      <c r="P55" s="25"/>
    </row>
    <row r="56" ht="15.35" customHeight="1">
      <c r="A56" t="s" s="84">
        <v>75</v>
      </c>
      <c r="B56" s="85">
        <v>15</v>
      </c>
      <c r="C56" s="86">
        <v>1000</v>
      </c>
      <c r="D56" s="23" cm="1">
        <f t="array" ref="D56">B56*C56</f>
        <v>15000</v>
      </c>
      <c r="E56" s="85">
        <v>1</v>
      </c>
      <c r="F56" s="85">
        <v>1</v>
      </c>
      <c r="G56" s="85">
        <v>1</v>
      </c>
      <c r="H56" s="85">
        <v>1</v>
      </c>
      <c r="I56" s="85">
        <v>1</v>
      </c>
      <c r="J56" s="85">
        <v>4</v>
      </c>
      <c r="K56" s="85">
        <v>4</v>
      </c>
      <c r="L56" s="85">
        <v>4</v>
      </c>
      <c r="M56" s="85">
        <v>4</v>
      </c>
      <c r="N56" s="85">
        <v>4</v>
      </c>
      <c r="O56" s="39"/>
      <c r="P56" s="25"/>
    </row>
    <row r="57" ht="15.35" customHeight="1">
      <c r="A57" t="s" s="84">
        <v>76</v>
      </c>
      <c r="B57" s="85">
        <v>10</v>
      </c>
      <c r="C57" s="86">
        <v>500</v>
      </c>
      <c r="D57" s="23" cm="1">
        <f t="array" ref="D57">B57*C57</f>
        <v>5000</v>
      </c>
      <c r="E57" s="85">
        <v>1</v>
      </c>
      <c r="F57" s="85">
        <v>1</v>
      </c>
      <c r="G57" s="85">
        <v>1</v>
      </c>
      <c r="H57" s="85">
        <v>1</v>
      </c>
      <c r="I57" s="85">
        <v>1</v>
      </c>
      <c r="J57" s="85">
        <v>4</v>
      </c>
      <c r="K57" s="85">
        <v>4</v>
      </c>
      <c r="L57" s="85">
        <v>4</v>
      </c>
      <c r="M57" s="85">
        <v>4</v>
      </c>
      <c r="N57" s="85">
        <v>4</v>
      </c>
      <c r="O57" s="39"/>
      <c r="P57" s="25"/>
    </row>
    <row r="58" ht="15.35" customHeight="1">
      <c r="A58" t="s" s="20">
        <v>77</v>
      </c>
      <c r="B58" s="21">
        <v>55</v>
      </c>
      <c r="C58" s="22">
        <v>0</v>
      </c>
      <c r="D58" s="2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39"/>
      <c r="P58" t="s" s="30">
        <v>78</v>
      </c>
    </row>
    <row r="59" ht="15.35" customHeight="1">
      <c r="A59" t="s" s="84">
        <v>73</v>
      </c>
      <c r="B59" s="85">
        <v>21</v>
      </c>
      <c r="C59" s="86">
        <v>700</v>
      </c>
      <c r="D59" s="23" cm="1">
        <f t="array" ref="D59">B59*C59</f>
        <v>14700</v>
      </c>
      <c r="E59" s="85">
        <v>1</v>
      </c>
      <c r="F59" s="85">
        <v>1</v>
      </c>
      <c r="G59" s="85">
        <v>1</v>
      </c>
      <c r="H59" s="85">
        <v>1</v>
      </c>
      <c r="I59" s="85">
        <v>1</v>
      </c>
      <c r="J59" s="85">
        <v>4</v>
      </c>
      <c r="K59" s="85">
        <v>4</v>
      </c>
      <c r="L59" s="85">
        <v>4</v>
      </c>
      <c r="M59" s="85">
        <v>4</v>
      </c>
      <c r="N59" s="85">
        <v>4</v>
      </c>
      <c r="O59" s="39"/>
      <c r="P59" s="25"/>
    </row>
    <row r="60" ht="15.35" customHeight="1">
      <c r="A60" t="s" s="84">
        <v>75</v>
      </c>
      <c r="B60" s="85">
        <v>21</v>
      </c>
      <c r="C60" s="86">
        <v>700</v>
      </c>
      <c r="D60" s="23" cm="1">
        <f t="array" ref="D60">B60*C60</f>
        <v>14700</v>
      </c>
      <c r="E60" s="85">
        <v>1</v>
      </c>
      <c r="F60" s="85">
        <v>1</v>
      </c>
      <c r="G60" s="85">
        <v>1</v>
      </c>
      <c r="H60" s="85">
        <v>1</v>
      </c>
      <c r="I60" s="85">
        <v>1</v>
      </c>
      <c r="J60" s="85">
        <v>4</v>
      </c>
      <c r="K60" s="85">
        <v>4</v>
      </c>
      <c r="L60" s="85">
        <v>4</v>
      </c>
      <c r="M60" s="85">
        <v>4</v>
      </c>
      <c r="N60" s="85">
        <v>4</v>
      </c>
      <c r="O60" s="39"/>
      <c r="P60" s="25"/>
    </row>
    <row r="61" ht="15.35" customHeight="1">
      <c r="A61" t="s" s="84">
        <v>76</v>
      </c>
      <c r="B61" s="85">
        <v>10</v>
      </c>
      <c r="C61" s="86">
        <v>300</v>
      </c>
      <c r="D61" s="23" cm="1">
        <f t="array" ref="D61">B61*C61</f>
        <v>3000</v>
      </c>
      <c r="E61" s="87"/>
      <c r="F61" s="87"/>
      <c r="G61" s="87"/>
      <c r="H61" s="87"/>
      <c r="I61" s="87"/>
      <c r="J61" s="85">
        <v>1</v>
      </c>
      <c r="K61" s="85">
        <v>1</v>
      </c>
      <c r="L61" s="85">
        <v>1</v>
      </c>
      <c r="M61" s="85">
        <v>1</v>
      </c>
      <c r="N61" s="85">
        <v>1</v>
      </c>
      <c r="O61" s="39"/>
      <c r="P61" s="88"/>
    </row>
    <row r="62" ht="15.35" customHeight="1">
      <c r="A62" t="s" s="20">
        <v>79</v>
      </c>
      <c r="B62" s="89"/>
      <c r="C62" s="90"/>
      <c r="D62" s="91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2"/>
      <c r="P62" s="93"/>
    </row>
    <row r="63" ht="15.35" customHeight="1">
      <c r="A63" t="s" s="84">
        <v>80</v>
      </c>
      <c r="B63" s="87"/>
      <c r="C63" s="86"/>
      <c r="D63" s="23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9"/>
      <c r="P63" s="94"/>
    </row>
    <row r="64" ht="15.35" customHeight="1">
      <c r="A64" t="s" s="84">
        <v>81</v>
      </c>
      <c r="B64" s="87"/>
      <c r="C64" s="86"/>
      <c r="D64" s="23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9"/>
      <c r="P64" s="25"/>
    </row>
    <row r="65" ht="15.35" customHeight="1">
      <c r="A65" t="s" s="84">
        <v>82</v>
      </c>
      <c r="B65" s="87"/>
      <c r="C65" s="86"/>
      <c r="D65" s="23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9"/>
      <c r="P65" s="25"/>
    </row>
    <row r="66" ht="15.35" customHeight="1">
      <c r="A66" t="s" s="84">
        <v>83</v>
      </c>
      <c r="B66" s="87"/>
      <c r="C66" s="86"/>
      <c r="D66" s="23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9"/>
      <c r="P66" s="25"/>
    </row>
    <row r="67" ht="15.35" customHeight="1">
      <c r="A67" t="s" s="84">
        <v>84</v>
      </c>
      <c r="B67" s="87"/>
      <c r="C67" s="86"/>
      <c r="D67" s="23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39"/>
      <c r="P67" s="25"/>
    </row>
    <row r="68" ht="15.35" customHeight="1">
      <c r="A68" t="s" s="84">
        <v>85</v>
      </c>
      <c r="B68" s="87"/>
      <c r="C68" s="86"/>
      <c r="D68" s="23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9"/>
      <c r="P68" s="25"/>
    </row>
    <row r="69" ht="15.35" customHeight="1">
      <c r="A69" t="s" s="84">
        <v>86</v>
      </c>
      <c r="B69" s="87"/>
      <c r="C69" s="86"/>
      <c r="D69" s="23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39"/>
      <c r="P69" s="25"/>
    </row>
    <row r="70" ht="15.35" customHeight="1">
      <c r="A70" t="s" s="84">
        <v>87</v>
      </c>
      <c r="B70" s="87"/>
      <c r="C70" s="86"/>
      <c r="D70" s="23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39"/>
      <c r="P70" s="25"/>
    </row>
    <row r="71" ht="16.5" customHeight="1">
      <c r="A71" t="s" s="84">
        <v>88</v>
      </c>
      <c r="B71" s="87"/>
      <c r="C71" s="86"/>
      <c r="D71" s="2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9"/>
      <c r="P71" s="25"/>
    </row>
    <row r="72" ht="19.5" customHeight="1">
      <c r="A72" s="31"/>
      <c r="B72" s="32"/>
      <c r="C72" s="33"/>
      <c r="D72" s="34" cm="1">
        <f t="array" ref="D72">SUM(D53:D71)</f>
        <v>115400</v>
      </c>
      <c r="E72" s="35">
        <v>1</v>
      </c>
      <c r="F72" s="36">
        <v>2</v>
      </c>
      <c r="G72" s="36">
        <v>3</v>
      </c>
      <c r="H72" s="36">
        <v>4</v>
      </c>
      <c r="I72" s="36">
        <v>5</v>
      </c>
      <c r="J72" s="36">
        <v>6</v>
      </c>
      <c r="K72" s="36">
        <v>7</v>
      </c>
      <c r="L72" s="36">
        <v>8</v>
      </c>
      <c r="M72" s="36">
        <v>9</v>
      </c>
      <c r="N72" s="36">
        <v>10</v>
      </c>
      <c r="O72" t="s" s="37">
        <v>7</v>
      </c>
      <c r="P72" s="16"/>
    </row>
    <row r="73" ht="15.85" customHeight="1">
      <c r="A73" t="s" s="17">
        <v>89</v>
      </c>
      <c r="B73" t="s" s="18">
        <v>9</v>
      </c>
      <c r="C73" t="s" s="18">
        <v>10</v>
      </c>
      <c r="D73" t="s" s="38">
        <v>11</v>
      </c>
      <c r="E73" s="19">
        <v>44531</v>
      </c>
      <c r="F73" s="19">
        <v>44562</v>
      </c>
      <c r="G73" s="19">
        <v>44593</v>
      </c>
      <c r="H73" s="19">
        <v>44621</v>
      </c>
      <c r="I73" s="19">
        <v>44652</v>
      </c>
      <c r="J73" s="19">
        <v>44682</v>
      </c>
      <c r="K73" s="19">
        <v>44713</v>
      </c>
      <c r="L73" s="19">
        <v>44743</v>
      </c>
      <c r="M73" s="19">
        <v>44774</v>
      </c>
      <c r="N73" s="19">
        <v>44805</v>
      </c>
      <c r="O73" s="19">
        <v>44835</v>
      </c>
      <c r="P73" s="16"/>
    </row>
    <row r="74" ht="15.35" customHeight="1">
      <c r="A74" t="s" s="20">
        <v>90</v>
      </c>
      <c r="B74" s="21">
        <v>1</v>
      </c>
      <c r="C74" s="22">
        <v>1500</v>
      </c>
      <c r="D74" s="23">
        <v>1500</v>
      </c>
      <c r="E74" s="39"/>
      <c r="F74" s="44"/>
      <c r="G74" s="39"/>
      <c r="H74" s="39"/>
      <c r="I74" s="39"/>
      <c r="J74" s="39"/>
      <c r="K74" s="39"/>
      <c r="L74" s="39"/>
      <c r="M74" s="39"/>
      <c r="N74" s="39"/>
      <c r="O74" s="39"/>
      <c r="P74" s="25"/>
    </row>
    <row r="75" ht="15.35" customHeight="1">
      <c r="A75" t="s" s="20">
        <v>91</v>
      </c>
      <c r="B75" s="21">
        <v>2</v>
      </c>
      <c r="C75" s="22">
        <v>3500</v>
      </c>
      <c r="D75" s="23">
        <v>6000</v>
      </c>
      <c r="E75" s="39"/>
      <c r="F75" s="44"/>
      <c r="G75" s="39"/>
      <c r="H75" s="39"/>
      <c r="I75" s="39"/>
      <c r="J75" s="39"/>
      <c r="K75" s="39"/>
      <c r="L75" s="39"/>
      <c r="M75" s="39"/>
      <c r="N75" s="39"/>
      <c r="O75" s="39"/>
      <c r="P75" s="25"/>
    </row>
    <row r="76" ht="15.35" customHeight="1">
      <c r="A76" t="s" s="20">
        <v>92</v>
      </c>
      <c r="B76" s="21">
        <v>2</v>
      </c>
      <c r="C76" s="22">
        <v>1000</v>
      </c>
      <c r="D76" s="23">
        <v>2000</v>
      </c>
      <c r="E76" s="39"/>
      <c r="F76" s="44"/>
      <c r="G76" s="39"/>
      <c r="H76" s="39"/>
      <c r="I76" s="39"/>
      <c r="J76" s="39"/>
      <c r="K76" s="39"/>
      <c r="L76" s="39"/>
      <c r="M76" s="39"/>
      <c r="N76" s="39"/>
      <c r="O76" s="39"/>
      <c r="P76" s="25"/>
    </row>
    <row r="77" ht="15.35" customHeight="1">
      <c r="A77" t="s" s="20">
        <v>93</v>
      </c>
      <c r="B77" s="21">
        <v>2</v>
      </c>
      <c r="C77" s="22">
        <v>600</v>
      </c>
      <c r="D77" s="23">
        <v>1200</v>
      </c>
      <c r="E77" s="39"/>
      <c r="F77" s="44"/>
      <c r="G77" s="39"/>
      <c r="H77" s="39"/>
      <c r="I77" s="39"/>
      <c r="J77" s="39"/>
      <c r="K77" s="39"/>
      <c r="L77" s="39"/>
      <c r="M77" s="39"/>
      <c r="N77" s="39"/>
      <c r="O77" s="39"/>
      <c r="P77" s="25"/>
    </row>
    <row r="78" ht="15.35" customHeight="1">
      <c r="A78" t="s" s="20">
        <v>94</v>
      </c>
      <c r="B78" s="21">
        <v>2</v>
      </c>
      <c r="C78" s="22">
        <v>600</v>
      </c>
      <c r="D78" s="23">
        <v>1200</v>
      </c>
      <c r="E78" s="39"/>
      <c r="F78" s="44"/>
      <c r="G78" s="39"/>
      <c r="H78" s="39"/>
      <c r="I78" s="39"/>
      <c r="J78" s="39"/>
      <c r="K78" s="39"/>
      <c r="L78" s="39"/>
      <c r="M78" s="39"/>
      <c r="N78" s="39"/>
      <c r="O78" s="39"/>
      <c r="P78" s="25"/>
    </row>
    <row r="79" ht="15.35" customHeight="1">
      <c r="A79" t="s" s="20">
        <v>95</v>
      </c>
      <c r="B79" s="21">
        <v>2</v>
      </c>
      <c r="C79" s="22">
        <v>4000</v>
      </c>
      <c r="D79" s="23">
        <v>8000</v>
      </c>
      <c r="E79" s="39"/>
      <c r="F79" s="44"/>
      <c r="G79" s="39"/>
      <c r="H79" s="39"/>
      <c r="I79" s="39"/>
      <c r="J79" s="39"/>
      <c r="K79" s="39"/>
      <c r="L79" s="39"/>
      <c r="M79" s="39"/>
      <c r="N79" s="39"/>
      <c r="O79" s="39"/>
      <c r="P79" s="25"/>
    </row>
    <row r="80" ht="15.35" customHeight="1">
      <c r="A80" t="s" s="20">
        <v>96</v>
      </c>
      <c r="B80" s="21">
        <v>1</v>
      </c>
      <c r="C80" s="22">
        <v>350</v>
      </c>
      <c r="D80" s="23">
        <v>350</v>
      </c>
      <c r="E80" s="39"/>
      <c r="F80" s="44"/>
      <c r="G80" s="39"/>
      <c r="H80" s="39"/>
      <c r="I80" s="39"/>
      <c r="J80" s="39"/>
      <c r="K80" s="39"/>
      <c r="L80" s="39"/>
      <c r="M80" s="39"/>
      <c r="N80" s="39"/>
      <c r="O80" s="39"/>
      <c r="P80" s="25"/>
    </row>
    <row r="81" ht="15.35" customHeight="1">
      <c r="A81" t="s" s="20">
        <v>97</v>
      </c>
      <c r="B81" s="21">
        <v>1</v>
      </c>
      <c r="C81" s="22">
        <v>500</v>
      </c>
      <c r="D81" s="23">
        <v>500</v>
      </c>
      <c r="E81" s="39"/>
      <c r="F81" s="44"/>
      <c r="G81" s="39"/>
      <c r="H81" s="39"/>
      <c r="I81" s="39"/>
      <c r="J81" s="39"/>
      <c r="K81" s="39"/>
      <c r="L81" s="39"/>
      <c r="M81" s="39"/>
      <c r="N81" s="39"/>
      <c r="O81" s="39"/>
      <c r="P81" s="25"/>
    </row>
    <row r="82" ht="16.5" customHeight="1">
      <c r="A82" t="s" s="20">
        <v>98</v>
      </c>
      <c r="B82" s="21">
        <v>1</v>
      </c>
      <c r="C82" s="22">
        <v>350</v>
      </c>
      <c r="D82" s="27">
        <v>350</v>
      </c>
      <c r="E82" s="39"/>
      <c r="F82" s="44"/>
      <c r="G82" s="39"/>
      <c r="H82" s="39"/>
      <c r="I82" s="39"/>
      <c r="J82" s="39"/>
      <c r="K82" s="39"/>
      <c r="L82" s="39"/>
      <c r="M82" s="39"/>
      <c r="N82" s="39"/>
      <c r="O82" s="39"/>
      <c r="P82" s="25"/>
    </row>
    <row r="83" ht="19.5" customHeight="1">
      <c r="A83" s="31"/>
      <c r="B83" s="32"/>
      <c r="C83" s="33"/>
      <c r="D83" s="82" cm="1">
        <f t="array" ref="D83">SUM(D74:D82)</f>
        <v>21100</v>
      </c>
      <c r="E83" s="35">
        <v>1</v>
      </c>
      <c r="F83" s="36">
        <v>2</v>
      </c>
      <c r="G83" s="36">
        <v>3</v>
      </c>
      <c r="H83" s="36">
        <v>4</v>
      </c>
      <c r="I83" s="36">
        <v>5</v>
      </c>
      <c r="J83" s="36">
        <v>6</v>
      </c>
      <c r="K83" s="36">
        <v>7</v>
      </c>
      <c r="L83" s="36">
        <v>8</v>
      </c>
      <c r="M83" s="36">
        <v>9</v>
      </c>
      <c r="N83" s="36">
        <v>10</v>
      </c>
      <c r="O83" t="s" s="37">
        <v>7</v>
      </c>
      <c r="P83" s="16"/>
    </row>
    <row r="84" ht="15.85" customHeight="1">
      <c r="A84" t="s" s="17">
        <v>99</v>
      </c>
      <c r="B84" t="s" s="18">
        <v>9</v>
      </c>
      <c r="C84" t="s" s="18">
        <v>10</v>
      </c>
      <c r="D84" t="s" s="38">
        <v>11</v>
      </c>
      <c r="E84" s="19">
        <v>44531</v>
      </c>
      <c r="F84" s="19">
        <v>44562</v>
      </c>
      <c r="G84" s="19">
        <v>44593</v>
      </c>
      <c r="H84" s="19">
        <v>44621</v>
      </c>
      <c r="I84" s="19">
        <v>44652</v>
      </c>
      <c r="J84" s="19">
        <v>44682</v>
      </c>
      <c r="K84" s="19">
        <v>44713</v>
      </c>
      <c r="L84" s="19">
        <v>44743</v>
      </c>
      <c r="M84" s="19">
        <v>44774</v>
      </c>
      <c r="N84" s="19">
        <v>44805</v>
      </c>
      <c r="O84" s="19">
        <v>44835</v>
      </c>
      <c r="P84" s="16"/>
    </row>
    <row r="85" ht="15.35" customHeight="1">
      <c r="A85" t="s" s="20">
        <v>26</v>
      </c>
      <c r="B85" s="21">
        <v>1</v>
      </c>
      <c r="C85" s="22">
        <v>500</v>
      </c>
      <c r="D85" s="23">
        <v>500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25"/>
    </row>
    <row r="86" ht="15.35" customHeight="1">
      <c r="A86" t="s" s="20">
        <v>100</v>
      </c>
      <c r="B86" s="21">
        <v>1</v>
      </c>
      <c r="C86" s="22">
        <v>500</v>
      </c>
      <c r="D86" s="23">
        <v>500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25"/>
    </row>
    <row r="87" ht="16.5" customHeight="1">
      <c r="A87" t="s" s="20">
        <v>101</v>
      </c>
      <c r="B87" s="21">
        <v>1</v>
      </c>
      <c r="C87" s="22">
        <v>5000</v>
      </c>
      <c r="D87" s="27">
        <v>5000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25"/>
    </row>
    <row r="88" ht="19.5" customHeight="1">
      <c r="A88" s="31"/>
      <c r="B88" s="32"/>
      <c r="C88" s="33"/>
      <c r="D88" s="82" cm="1">
        <f t="array" ref="D88">SUM(D85:D87)</f>
        <v>6000</v>
      </c>
      <c r="E88" s="35">
        <v>1</v>
      </c>
      <c r="F88" s="36">
        <v>2</v>
      </c>
      <c r="G88" s="36">
        <v>3</v>
      </c>
      <c r="H88" s="36">
        <v>4</v>
      </c>
      <c r="I88" s="36">
        <v>5</v>
      </c>
      <c r="J88" s="36">
        <v>6</v>
      </c>
      <c r="K88" s="36">
        <v>7</v>
      </c>
      <c r="L88" s="36">
        <v>8</v>
      </c>
      <c r="M88" s="36">
        <v>9</v>
      </c>
      <c r="N88" s="36">
        <v>10</v>
      </c>
      <c r="O88" t="s" s="37">
        <v>7</v>
      </c>
      <c r="P88" s="16"/>
    </row>
    <row r="89" ht="15.85" customHeight="1">
      <c r="A89" t="s" s="17">
        <v>102</v>
      </c>
      <c r="B89" t="s" s="18">
        <v>9</v>
      </c>
      <c r="C89" t="s" s="18">
        <v>10</v>
      </c>
      <c r="D89" t="s" s="38">
        <v>11</v>
      </c>
      <c r="E89" s="19">
        <v>44531</v>
      </c>
      <c r="F89" s="19">
        <v>44562</v>
      </c>
      <c r="G89" s="19">
        <v>44593</v>
      </c>
      <c r="H89" s="19">
        <v>44621</v>
      </c>
      <c r="I89" s="19">
        <v>44652</v>
      </c>
      <c r="J89" s="19">
        <v>44682</v>
      </c>
      <c r="K89" s="19">
        <v>44713</v>
      </c>
      <c r="L89" s="19">
        <v>44743</v>
      </c>
      <c r="M89" s="19">
        <v>44774</v>
      </c>
      <c r="N89" s="19">
        <v>44805</v>
      </c>
      <c r="O89" s="19">
        <v>44835</v>
      </c>
      <c r="P89" s="16"/>
    </row>
    <row r="90" ht="15.35" customHeight="1">
      <c r="A90" t="s" s="20">
        <v>103</v>
      </c>
      <c r="B90" s="43">
        <v>1000</v>
      </c>
      <c r="C90" s="22">
        <v>70</v>
      </c>
      <c r="D90" s="23">
        <v>70000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39"/>
      <c r="P90" s="25"/>
    </row>
    <row r="91" ht="15.35" customHeight="1">
      <c r="A91" t="s" s="20">
        <v>104</v>
      </c>
      <c r="B91" s="51"/>
      <c r="C91" s="22"/>
      <c r="D91" s="23">
        <v>3000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25"/>
    </row>
    <row r="92" ht="15.35" customHeight="1">
      <c r="A92" t="s" s="95">
        <v>105</v>
      </c>
      <c r="B92" s="51"/>
      <c r="C92" s="22"/>
      <c r="D92" s="23">
        <v>5000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25"/>
    </row>
    <row r="93" ht="15.35" customHeight="1">
      <c r="A93" t="s" s="20">
        <v>106</v>
      </c>
      <c r="B93" s="51"/>
      <c r="C93" s="22"/>
      <c r="D93" s="23">
        <v>10000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25"/>
    </row>
    <row r="94" ht="15.35" customHeight="1">
      <c r="A94" t="s" s="20">
        <v>107</v>
      </c>
      <c r="B94" s="51"/>
      <c r="C94" s="22"/>
      <c r="D94" s="23">
        <v>2500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25"/>
    </row>
    <row r="95" ht="16.5" customHeight="1">
      <c r="A95" t="s" s="20">
        <v>108</v>
      </c>
      <c r="B95" s="51"/>
      <c r="C95" s="22"/>
      <c r="D95" s="27">
        <v>5000</v>
      </c>
      <c r="E95" s="39"/>
      <c r="F95" s="39"/>
      <c r="G95" s="39"/>
      <c r="H95" s="39"/>
      <c r="I95" s="39"/>
      <c r="J95" s="39"/>
      <c r="K95" s="39"/>
      <c r="L95" s="44"/>
      <c r="M95" s="44"/>
      <c r="N95" s="44"/>
      <c r="O95" s="39"/>
      <c r="P95" s="25"/>
    </row>
    <row r="96" ht="19.5" customHeight="1">
      <c r="A96" s="31"/>
      <c r="B96" s="32"/>
      <c r="C96" s="33"/>
      <c r="D96" s="34" cm="1">
        <f t="array" ref="D96">SUM(D90:D95)</f>
        <v>95500</v>
      </c>
      <c r="E96" s="35">
        <v>1</v>
      </c>
      <c r="F96" s="36">
        <v>2</v>
      </c>
      <c r="G96" s="36">
        <v>3</v>
      </c>
      <c r="H96" s="36">
        <v>4</v>
      </c>
      <c r="I96" s="36">
        <v>5</v>
      </c>
      <c r="J96" s="36">
        <v>6</v>
      </c>
      <c r="K96" s="36">
        <v>7</v>
      </c>
      <c r="L96" s="36">
        <v>8</v>
      </c>
      <c r="M96" s="36">
        <v>9</v>
      </c>
      <c r="N96" s="36">
        <v>10</v>
      </c>
      <c r="O96" t="s" s="37">
        <v>7</v>
      </c>
      <c r="P96" s="16"/>
    </row>
    <row r="97" ht="15.85" customHeight="1">
      <c r="A97" t="s" s="17">
        <v>109</v>
      </c>
      <c r="B97" t="s" s="18">
        <v>9</v>
      </c>
      <c r="C97" t="s" s="18">
        <v>10</v>
      </c>
      <c r="D97" t="s" s="38">
        <v>11</v>
      </c>
      <c r="E97" s="19">
        <v>44531</v>
      </c>
      <c r="F97" s="19">
        <v>44562</v>
      </c>
      <c r="G97" s="19">
        <v>44593</v>
      </c>
      <c r="H97" s="19">
        <v>44621</v>
      </c>
      <c r="I97" s="19">
        <v>44652</v>
      </c>
      <c r="J97" s="19">
        <v>44682</v>
      </c>
      <c r="K97" s="19">
        <v>44713</v>
      </c>
      <c r="L97" s="19">
        <v>44743</v>
      </c>
      <c r="M97" s="19">
        <v>44774</v>
      </c>
      <c r="N97" s="19">
        <v>44805</v>
      </c>
      <c r="O97" s="19">
        <v>44835</v>
      </c>
      <c r="P97" s="16"/>
    </row>
    <row r="98" ht="15.35" customHeight="1">
      <c r="A98" t="s" s="20">
        <v>36</v>
      </c>
      <c r="B98" s="21">
        <v>150</v>
      </c>
      <c r="C98" s="22">
        <v>100</v>
      </c>
      <c r="D98" s="23">
        <v>0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67"/>
      <c r="P98" s="25"/>
    </row>
    <row r="99" ht="15.35" customHeight="1">
      <c r="A99" t="s" s="20">
        <v>64</v>
      </c>
      <c r="B99" s="43">
        <v>250000</v>
      </c>
      <c r="C99" s="22"/>
      <c r="D99" s="23" cm="1">
        <f t="array" ref="D99">SUM(D89)</f>
        <v>0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67"/>
      <c r="P99" s="25"/>
    </row>
    <row r="100" ht="15.35" customHeight="1">
      <c r="A100" t="s" s="20">
        <v>110</v>
      </c>
      <c r="B100" s="21">
        <v>300</v>
      </c>
      <c r="C100" t="s" s="41">
        <v>111</v>
      </c>
      <c r="D100" s="23">
        <v>3600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67"/>
      <c r="P100" s="25"/>
    </row>
    <row r="101" ht="15.35" customHeight="1">
      <c r="A101" t="s" s="20">
        <v>112</v>
      </c>
      <c r="B101" s="51"/>
      <c r="C101" s="22"/>
      <c r="D101" s="23" cm="1">
        <f t="array" ref="D101">SUM(D91)</f>
        <v>3000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65">
        <v>10</v>
      </c>
      <c r="P101" s="25"/>
    </row>
    <row r="102" ht="16.5" customHeight="1">
      <c r="A102" t="s" s="20">
        <v>113</v>
      </c>
      <c r="B102" s="21">
        <v>2500</v>
      </c>
      <c r="C102" s="22"/>
      <c r="D102" s="27">
        <v>18750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65">
        <v>2500</v>
      </c>
      <c r="P102" s="25"/>
    </row>
    <row r="103" ht="19.5" customHeight="1">
      <c r="A103" s="31"/>
      <c r="B103" s="32"/>
      <c r="C103" s="33"/>
      <c r="D103" s="82" cm="1">
        <f t="array" ref="D103">SUM(D94)</f>
        <v>2500</v>
      </c>
      <c r="E103" s="35">
        <v>1</v>
      </c>
      <c r="F103" s="36">
        <v>2</v>
      </c>
      <c r="G103" s="36">
        <v>3</v>
      </c>
      <c r="H103" s="36">
        <v>4</v>
      </c>
      <c r="I103" s="36">
        <v>5</v>
      </c>
      <c r="J103" s="36">
        <v>6</v>
      </c>
      <c r="K103" s="36">
        <v>7</v>
      </c>
      <c r="L103" s="36">
        <v>8</v>
      </c>
      <c r="M103" s="36">
        <v>9</v>
      </c>
      <c r="N103" s="36">
        <v>10</v>
      </c>
      <c r="O103" t="s" s="37">
        <v>7</v>
      </c>
      <c r="P103" s="16"/>
    </row>
    <row r="104" ht="15.85" customHeight="1">
      <c r="A104" t="s" s="17">
        <v>114</v>
      </c>
      <c r="B104" t="s" s="18">
        <v>9</v>
      </c>
      <c r="C104" t="s" s="18">
        <v>10</v>
      </c>
      <c r="D104" t="s" s="38">
        <v>11</v>
      </c>
      <c r="E104" s="19">
        <v>44531</v>
      </c>
      <c r="F104" s="19">
        <v>44562</v>
      </c>
      <c r="G104" s="19">
        <v>44593</v>
      </c>
      <c r="H104" s="19">
        <v>44621</v>
      </c>
      <c r="I104" s="19">
        <v>44652</v>
      </c>
      <c r="J104" s="19">
        <v>44682</v>
      </c>
      <c r="K104" s="19">
        <v>44713</v>
      </c>
      <c r="L104" s="19">
        <v>44743</v>
      </c>
      <c r="M104" s="19">
        <v>44774</v>
      </c>
      <c r="N104" s="19">
        <v>44805</v>
      </c>
      <c r="O104" s="19">
        <v>44835</v>
      </c>
      <c r="P104" s="16"/>
    </row>
    <row r="105" ht="15.35" customHeight="1">
      <c r="A105" t="s" s="20">
        <v>115</v>
      </c>
      <c r="B105" s="39"/>
      <c r="C105" s="96"/>
      <c r="D105" s="23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25"/>
    </row>
    <row r="106" ht="15.35" customHeight="1">
      <c r="A106" t="s" s="20">
        <v>116</v>
      </c>
      <c r="B106" s="39"/>
      <c r="C106" s="96"/>
      <c r="D106" s="23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25"/>
    </row>
    <row r="107" ht="16.5" customHeight="1">
      <c r="A107" t="s" s="20">
        <v>117</v>
      </c>
      <c r="B107" s="39"/>
      <c r="C107" s="96"/>
      <c r="D107" s="27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25"/>
    </row>
    <row r="108" ht="19.5" customHeight="1">
      <c r="A108" s="31"/>
      <c r="B108" s="32"/>
      <c r="C108" s="33"/>
      <c r="D108" s="34">
        <v>30000</v>
      </c>
      <c r="E108" s="35">
        <v>1</v>
      </c>
      <c r="F108" s="36">
        <v>2</v>
      </c>
      <c r="G108" s="36">
        <v>3</v>
      </c>
      <c r="H108" s="36">
        <v>4</v>
      </c>
      <c r="I108" s="36">
        <v>5</v>
      </c>
      <c r="J108" s="36">
        <v>6</v>
      </c>
      <c r="K108" s="36">
        <v>7</v>
      </c>
      <c r="L108" s="36">
        <v>8</v>
      </c>
      <c r="M108" s="36">
        <v>9</v>
      </c>
      <c r="N108" s="36">
        <v>10</v>
      </c>
      <c r="O108" t="s" s="37">
        <v>7</v>
      </c>
      <c r="P108" s="16"/>
    </row>
    <row r="109" ht="15.85" customHeight="1">
      <c r="A109" t="s" s="17">
        <v>118</v>
      </c>
      <c r="B109" t="s" s="18">
        <v>9</v>
      </c>
      <c r="C109" t="s" s="18">
        <v>10</v>
      </c>
      <c r="D109" t="s" s="38">
        <v>11</v>
      </c>
      <c r="E109" s="19">
        <v>44531</v>
      </c>
      <c r="F109" s="19">
        <v>44562</v>
      </c>
      <c r="G109" s="19">
        <v>44593</v>
      </c>
      <c r="H109" s="19">
        <v>44621</v>
      </c>
      <c r="I109" s="19">
        <v>44652</v>
      </c>
      <c r="J109" s="19">
        <v>44682</v>
      </c>
      <c r="K109" s="19">
        <v>44713</v>
      </c>
      <c r="L109" s="19">
        <v>44743</v>
      </c>
      <c r="M109" s="19">
        <v>44774</v>
      </c>
      <c r="N109" s="19">
        <v>44805</v>
      </c>
      <c r="O109" s="19">
        <v>44835</v>
      </c>
      <c r="P109" s="16"/>
    </row>
    <row r="110" ht="15.35" customHeight="1">
      <c r="A110" t="s" s="20">
        <v>119</v>
      </c>
      <c r="B110" s="24">
        <v>1</v>
      </c>
      <c r="C110" s="96">
        <v>3000</v>
      </c>
      <c r="D110" s="23">
        <v>6000</v>
      </c>
      <c r="E110" s="39"/>
      <c r="F110" s="39"/>
      <c r="G110" s="39"/>
      <c r="H110" s="39"/>
      <c r="I110" s="39"/>
      <c r="J110" s="39"/>
      <c r="K110" s="39"/>
      <c r="L110" s="39"/>
      <c r="M110" s="40">
        <v>3000</v>
      </c>
      <c r="N110" s="40">
        <v>3000</v>
      </c>
      <c r="O110" s="39"/>
      <c r="P110" s="25"/>
    </row>
    <row r="111" ht="15.35" customHeight="1">
      <c r="A111" t="s" s="20">
        <v>120</v>
      </c>
      <c r="B111" s="24">
        <v>1</v>
      </c>
      <c r="C111" s="96">
        <v>3500</v>
      </c>
      <c r="D111" s="23">
        <v>21000</v>
      </c>
      <c r="E111" s="39"/>
      <c r="F111" s="39"/>
      <c r="G111" s="39"/>
      <c r="H111" s="39"/>
      <c r="I111" s="40">
        <v>3500</v>
      </c>
      <c r="J111" s="40">
        <v>3500</v>
      </c>
      <c r="K111" s="40">
        <v>3500</v>
      </c>
      <c r="L111" s="40">
        <v>3500</v>
      </c>
      <c r="M111" s="40">
        <v>3500</v>
      </c>
      <c r="N111" s="40">
        <v>3500</v>
      </c>
      <c r="O111" s="39"/>
      <c r="P111" s="25"/>
    </row>
    <row r="112" ht="15.35" customHeight="1">
      <c r="A112" t="s" s="20">
        <v>121</v>
      </c>
      <c r="B112" s="24"/>
      <c r="C112" s="96"/>
      <c r="D112" s="23"/>
      <c r="E112" s="39"/>
      <c r="F112" s="39"/>
      <c r="G112" s="39"/>
      <c r="H112" s="39"/>
      <c r="I112" s="44"/>
      <c r="J112" s="44"/>
      <c r="K112" s="44"/>
      <c r="L112" s="44"/>
      <c r="M112" s="44"/>
      <c r="N112" s="44"/>
      <c r="O112" s="39"/>
      <c r="P112" s="25"/>
    </row>
    <row r="113" ht="18.75" customHeight="1">
      <c r="A113" s="97"/>
      <c r="B113" s="39"/>
      <c r="C113" s="96"/>
      <c r="D113" s="98" cm="1">
        <f t="array" ref="D113">SUM(D110:D112)</f>
        <v>27000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99"/>
      <c r="O113" t="s" s="37">
        <v>7</v>
      </c>
      <c r="P113" s="16"/>
    </row>
    <row r="114" ht="15.35" customHeight="1">
      <c r="A114" t="s" s="100">
        <v>122</v>
      </c>
      <c r="B114" t="s" s="101">
        <v>9</v>
      </c>
      <c r="C114" t="s" s="101">
        <v>10</v>
      </c>
      <c r="D114" t="s" s="101">
        <v>11</v>
      </c>
      <c r="E114" s="102">
        <v>44531</v>
      </c>
      <c r="F114" s="102">
        <v>44562</v>
      </c>
      <c r="G114" s="102">
        <v>44593</v>
      </c>
      <c r="H114" s="102">
        <v>44621</v>
      </c>
      <c r="I114" s="102">
        <v>44652</v>
      </c>
      <c r="J114" s="102">
        <v>44682</v>
      </c>
      <c r="K114" s="102">
        <v>44713</v>
      </c>
      <c r="L114" s="102">
        <v>44743</v>
      </c>
      <c r="M114" s="102">
        <v>44774</v>
      </c>
      <c r="N114" s="102">
        <v>44805</v>
      </c>
      <c r="O114" s="19">
        <v>44835</v>
      </c>
      <c r="P114" s="16"/>
    </row>
    <row r="115" ht="15.35" customHeight="1">
      <c r="A115" t="s" s="20">
        <v>123</v>
      </c>
      <c r="B115" s="83">
        <v>3</v>
      </c>
      <c r="C115" s="96">
        <v>15000</v>
      </c>
      <c r="D115" s="23">
        <v>45000</v>
      </c>
      <c r="E115" s="39"/>
      <c r="F115" s="39"/>
      <c r="G115" s="39"/>
      <c r="H115" s="44"/>
      <c r="I115" s="39"/>
      <c r="J115" s="39"/>
      <c r="K115" s="44"/>
      <c r="L115" s="39"/>
      <c r="M115" s="39"/>
      <c r="N115" s="44"/>
      <c r="O115" s="39"/>
      <c r="P115" s="25"/>
    </row>
    <row r="116" ht="16.5" customHeight="1">
      <c r="A116" t="s" s="20">
        <v>124</v>
      </c>
      <c r="B116" s="83">
        <v>2</v>
      </c>
      <c r="C116" s="96">
        <v>25000</v>
      </c>
      <c r="D116" s="27">
        <v>50000</v>
      </c>
      <c r="E116" s="39"/>
      <c r="F116" s="44"/>
      <c r="G116" s="39"/>
      <c r="H116" s="39"/>
      <c r="I116" s="39"/>
      <c r="J116" s="39"/>
      <c r="K116" s="39"/>
      <c r="L116" s="44"/>
      <c r="M116" s="39"/>
      <c r="N116" s="39"/>
      <c r="O116" s="39"/>
      <c r="P116" s="25"/>
    </row>
    <row r="117" ht="16.5" customHeight="1">
      <c r="A117" s="97"/>
      <c r="B117" s="39"/>
      <c r="C117" s="103"/>
      <c r="D117" s="104" cm="1">
        <f t="array" ref="D117">SUM(D115:D116)</f>
        <v>95000</v>
      </c>
      <c r="E117" s="105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25"/>
    </row>
    <row r="118" ht="15.85" customHeight="1">
      <c r="A118" s="31"/>
      <c r="B118" s="32"/>
      <c r="C118" s="32"/>
      <c r="D118" s="106"/>
      <c r="E118" s="32"/>
      <c r="F118" s="32"/>
      <c r="G118" s="32"/>
      <c r="H118" s="32"/>
      <c r="I118" s="32"/>
      <c r="J118" s="32"/>
      <c r="K118" s="32"/>
      <c r="L118" s="32"/>
      <c r="M118" s="32"/>
      <c r="N118" s="107"/>
      <c r="O118" t="s" s="37">
        <v>7</v>
      </c>
      <c r="P118" s="16"/>
    </row>
    <row r="119" ht="15.35" customHeight="1">
      <c r="A119" t="s" s="17">
        <v>109</v>
      </c>
      <c r="B119" t="s" s="18">
        <v>9</v>
      </c>
      <c r="C119" t="s" s="18">
        <v>10</v>
      </c>
      <c r="D119" t="s" s="18">
        <v>11</v>
      </c>
      <c r="E119" s="19">
        <v>44531</v>
      </c>
      <c r="F119" s="19">
        <v>44562</v>
      </c>
      <c r="G119" s="19">
        <v>44593</v>
      </c>
      <c r="H119" s="19">
        <v>44621</v>
      </c>
      <c r="I119" s="19">
        <v>44652</v>
      </c>
      <c r="J119" s="19">
        <v>44682</v>
      </c>
      <c r="K119" s="19">
        <v>44713</v>
      </c>
      <c r="L119" s="19">
        <v>44743</v>
      </c>
      <c r="M119" s="19">
        <v>44774</v>
      </c>
      <c r="N119" s="19">
        <v>44805</v>
      </c>
      <c r="O119" s="19">
        <v>44835</v>
      </c>
      <c r="P119" s="16"/>
    </row>
    <row r="120" ht="15.35" customHeight="1">
      <c r="A120" t="s" s="20">
        <v>125</v>
      </c>
      <c r="B120" s="39"/>
      <c r="C120" s="96"/>
      <c r="D120" s="23">
        <v>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44"/>
      <c r="P120" s="25"/>
    </row>
    <row r="121" ht="15.35" customHeight="1">
      <c r="A121" t="s" s="20">
        <v>126</v>
      </c>
      <c r="B121" s="39"/>
      <c r="C121" s="96"/>
      <c r="D121" s="23" cm="1">
        <f t="array" ref="D121">SUM(D118)</f>
        <v>0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44"/>
      <c r="P121" s="25"/>
    </row>
    <row r="122" ht="16.5" customHeight="1">
      <c r="A122" t="s" s="20">
        <v>127</v>
      </c>
      <c r="B122" s="39"/>
      <c r="C122" s="96"/>
      <c r="D122" s="27" cm="1">
        <f t="array" ref="D122">SUM(D119)</f>
        <v>0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44"/>
      <c r="P122" s="25"/>
    </row>
    <row r="123" ht="19.5" customHeight="1">
      <c r="A123" s="108"/>
      <c r="B123" s="109"/>
      <c r="C123" s="110"/>
      <c r="D123" s="111" cm="1">
        <f t="array" ref="D123">SUM(D120)</f>
        <v>0</v>
      </c>
      <c r="E123" s="112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"/>
    </row>
    <row r="124" ht="16.5" customHeight="1">
      <c r="A124" s="10"/>
      <c r="B124" s="113"/>
      <c r="C124" s="113"/>
      <c r="D124" s="114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0"/>
    </row>
    <row r="125" ht="21.75" customHeight="1">
      <c r="A125" s="116"/>
      <c r="B125" t="s" s="117">
        <v>128</v>
      </c>
      <c r="C125" s="118"/>
      <c r="D125" s="119" cm="1">
        <f t="array" ref="D125">D123+D117+D108+D103+D96+D88+D83+D72+D51+D40+D21+D15+D7</f>
        <v>1505075</v>
      </c>
      <c r="E125" s="120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0"/>
    </row>
  </sheetData>
  <mergeCells count="2">
    <mergeCell ref="A1:N1"/>
    <mergeCell ref="B125:C12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P125"/>
  <sheetViews>
    <sheetView workbookViewId="0" showGridLines="0" defaultGridColor="1"/>
  </sheetViews>
  <sheetFormatPr defaultColWidth="8.83333" defaultRowHeight="15.75" customHeight="1" outlineLevelRow="0" outlineLevelCol="0"/>
  <cols>
    <col min="1" max="1" width="62.1719" style="123" customWidth="1"/>
    <col min="2" max="2" width="10.8516" style="123" customWidth="1"/>
    <col min="3" max="3" width="16.6719" style="123" customWidth="1"/>
    <col min="4" max="4" width="23.6719" style="123" customWidth="1"/>
    <col min="5" max="5" width="8" style="123" customWidth="1"/>
    <col min="6" max="7" width="7.67188" style="123" customWidth="1"/>
    <col min="8" max="8" width="8.5" style="123" customWidth="1"/>
    <col min="9" max="9" width="7.85156" style="123" customWidth="1"/>
    <col min="10" max="10" width="8" style="123" customWidth="1"/>
    <col min="11" max="11" width="7.85156" style="123" customWidth="1"/>
    <col min="12" max="12" width="7.67188" style="123" customWidth="1"/>
    <col min="13" max="14" width="9.35156" style="123" customWidth="1"/>
    <col min="15" max="15" width="11" style="123" customWidth="1"/>
    <col min="16" max="16" width="102.5" style="123" customWidth="1"/>
    <col min="17" max="16384" width="8.85156" style="123" customWidth="1"/>
  </cols>
  <sheetData>
    <row r="1" ht="15.35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</row>
    <row r="2" ht="15.35" customHeight="1">
      <c r="A2" s="11"/>
      <c r="B2" s="12"/>
      <c r="C2" s="12"/>
      <c r="D2" s="13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t="s" s="15">
        <v>7</v>
      </c>
      <c r="P2" s="16"/>
    </row>
    <row r="3" ht="15.35" customHeight="1">
      <c r="A3" t="s" s="17">
        <v>8</v>
      </c>
      <c r="B3" t="s" s="18">
        <v>9</v>
      </c>
      <c r="C3" t="s" s="18">
        <v>10</v>
      </c>
      <c r="D3" t="s" s="18">
        <v>11</v>
      </c>
      <c r="E3" s="19">
        <v>44531</v>
      </c>
      <c r="F3" s="19">
        <v>44562</v>
      </c>
      <c r="G3" s="19">
        <v>44593</v>
      </c>
      <c r="H3" s="19">
        <v>44621</v>
      </c>
      <c r="I3" s="19">
        <v>44652</v>
      </c>
      <c r="J3" s="19">
        <v>44682</v>
      </c>
      <c r="K3" s="19">
        <v>44713</v>
      </c>
      <c r="L3" s="19">
        <v>44743</v>
      </c>
      <c r="M3" s="19">
        <v>44774</v>
      </c>
      <c r="N3" s="19">
        <v>44805</v>
      </c>
      <c r="O3" s="19">
        <v>44835</v>
      </c>
      <c r="P3" s="16"/>
    </row>
    <row r="4" ht="15.35" customHeight="1">
      <c r="A4" t="s" s="20">
        <v>12</v>
      </c>
      <c r="B4" s="21">
        <v>1</v>
      </c>
      <c r="C4" s="22">
        <v>25000</v>
      </c>
      <c r="D4" s="23">
        <v>22500</v>
      </c>
      <c r="E4" s="24"/>
      <c r="F4" s="24">
        <v>12500</v>
      </c>
      <c r="G4" s="24">
        <v>12500</v>
      </c>
      <c r="H4" s="24"/>
      <c r="I4" s="24"/>
      <c r="J4" s="24"/>
      <c r="K4" s="24"/>
      <c r="L4" s="24"/>
      <c r="M4" s="24"/>
      <c r="N4" s="24"/>
      <c r="O4" s="24"/>
      <c r="P4" s="25"/>
    </row>
    <row r="5" ht="15.35" customHeight="1">
      <c r="A5" t="s" s="20">
        <v>13</v>
      </c>
      <c r="B5" s="21">
        <v>1</v>
      </c>
      <c r="C5" s="22">
        <v>30000</v>
      </c>
      <c r="D5" s="23">
        <v>22500</v>
      </c>
      <c r="E5" s="24">
        <v>3000</v>
      </c>
      <c r="F5" s="24">
        <v>3000</v>
      </c>
      <c r="G5" s="24">
        <v>3000</v>
      </c>
      <c r="H5" s="24">
        <v>3000</v>
      </c>
      <c r="I5" s="24">
        <v>3000</v>
      </c>
      <c r="J5" s="24">
        <v>3000</v>
      </c>
      <c r="K5" s="24">
        <v>3000</v>
      </c>
      <c r="L5" s="24">
        <v>3000</v>
      </c>
      <c r="M5" s="24">
        <v>3000</v>
      </c>
      <c r="N5" s="24">
        <v>3000</v>
      </c>
      <c r="O5" s="26"/>
      <c r="P5" s="25"/>
    </row>
    <row r="6" ht="16.5" customHeight="1">
      <c r="A6" t="s" s="20">
        <v>14</v>
      </c>
      <c r="B6" s="21">
        <v>45</v>
      </c>
      <c r="C6" s="22">
        <v>500</v>
      </c>
      <c r="D6" s="27">
        <v>22500</v>
      </c>
      <c r="E6" s="28">
        <v>2000</v>
      </c>
      <c r="F6" s="28">
        <v>2000</v>
      </c>
      <c r="G6" s="28">
        <v>2000</v>
      </c>
      <c r="H6" s="28">
        <v>2000</v>
      </c>
      <c r="I6" s="28">
        <v>2000</v>
      </c>
      <c r="J6" s="28">
        <v>2000</v>
      </c>
      <c r="K6" s="28">
        <v>2000</v>
      </c>
      <c r="L6" s="28">
        <v>2000</v>
      </c>
      <c r="M6" s="28">
        <v>2000</v>
      </c>
      <c r="N6" s="28">
        <v>2000</v>
      </c>
      <c r="O6" s="29"/>
      <c r="P6" t="s" s="30">
        <v>15</v>
      </c>
    </row>
    <row r="7" ht="19.5" customHeight="1">
      <c r="A7" s="31"/>
      <c r="B7" s="32"/>
      <c r="C7" s="33"/>
      <c r="D7" s="34" cm="1">
        <f t="array" ref="D7">SUM(D4:D6)</f>
        <v>67500</v>
      </c>
      <c r="E7" s="35">
        <v>1</v>
      </c>
      <c r="F7" s="36">
        <v>2</v>
      </c>
      <c r="G7" s="36">
        <v>3</v>
      </c>
      <c r="H7" s="36">
        <v>4</v>
      </c>
      <c r="I7" s="36">
        <v>5</v>
      </c>
      <c r="J7" s="36">
        <v>6</v>
      </c>
      <c r="K7" s="36">
        <v>7</v>
      </c>
      <c r="L7" s="36">
        <v>8</v>
      </c>
      <c r="M7" s="36">
        <v>9</v>
      </c>
      <c r="N7" s="36">
        <v>10</v>
      </c>
      <c r="O7" t="s" s="37">
        <v>7</v>
      </c>
      <c r="P7" s="16"/>
    </row>
    <row r="8" ht="15.85" customHeight="1">
      <c r="A8" t="s" s="17">
        <v>16</v>
      </c>
      <c r="B8" t="s" s="18">
        <v>9</v>
      </c>
      <c r="C8" t="s" s="18">
        <v>10</v>
      </c>
      <c r="D8" t="s" s="38">
        <v>11</v>
      </c>
      <c r="E8" s="19">
        <v>44531</v>
      </c>
      <c r="F8" s="19">
        <v>44562</v>
      </c>
      <c r="G8" s="19">
        <v>44593</v>
      </c>
      <c r="H8" s="19">
        <v>44621</v>
      </c>
      <c r="I8" s="19">
        <v>44652</v>
      </c>
      <c r="J8" s="19">
        <v>44682</v>
      </c>
      <c r="K8" s="19">
        <v>44713</v>
      </c>
      <c r="L8" s="19">
        <v>44743</v>
      </c>
      <c r="M8" s="19">
        <v>44774</v>
      </c>
      <c r="N8" s="19">
        <v>44805</v>
      </c>
      <c r="O8" s="19">
        <v>44835</v>
      </c>
      <c r="P8" s="16"/>
    </row>
    <row r="9" ht="15.35" customHeight="1">
      <c r="A9" t="s" s="20">
        <v>17</v>
      </c>
      <c r="B9" s="21">
        <v>45</v>
      </c>
      <c r="C9" s="22">
        <v>1000</v>
      </c>
      <c r="D9" s="23">
        <v>45000</v>
      </c>
      <c r="E9" s="39"/>
      <c r="F9" s="39"/>
      <c r="G9" s="39"/>
      <c r="H9" s="39"/>
      <c r="I9" s="28">
        <v>5</v>
      </c>
      <c r="J9" s="28">
        <v>5</v>
      </c>
      <c r="K9" s="28">
        <v>5</v>
      </c>
      <c r="L9" s="40">
        <v>10</v>
      </c>
      <c r="M9" s="40">
        <v>10</v>
      </c>
      <c r="N9" s="40">
        <v>10</v>
      </c>
      <c r="O9" s="26"/>
      <c r="P9" s="25"/>
    </row>
    <row r="10" ht="15.35" customHeight="1">
      <c r="A10" t="s" s="20">
        <v>18</v>
      </c>
      <c r="B10" s="21">
        <v>120</v>
      </c>
      <c r="C10" t="s" s="41">
        <v>19</v>
      </c>
      <c r="D10" s="23">
        <v>0</v>
      </c>
      <c r="E10" s="28">
        <v>31</v>
      </c>
      <c r="F10" s="28">
        <v>30</v>
      </c>
      <c r="G10" s="28">
        <v>28</v>
      </c>
      <c r="H10" s="28">
        <v>31</v>
      </c>
      <c r="I10" s="28">
        <v>30</v>
      </c>
      <c r="J10" s="28">
        <v>31</v>
      </c>
      <c r="K10" s="28">
        <v>30</v>
      </c>
      <c r="L10" s="28">
        <v>31</v>
      </c>
      <c r="M10" s="28">
        <v>30</v>
      </c>
      <c r="N10" s="28">
        <v>31</v>
      </c>
      <c r="O10" s="42"/>
      <c r="P10" s="25"/>
    </row>
    <row r="11" ht="15.35" customHeight="1">
      <c r="A11" t="s" s="20">
        <v>20</v>
      </c>
      <c r="B11" s="21">
        <v>44</v>
      </c>
      <c r="C11" s="22">
        <v>500</v>
      </c>
      <c r="D11" s="23">
        <v>22000</v>
      </c>
      <c r="E11" s="40">
        <v>2500</v>
      </c>
      <c r="F11" s="40">
        <v>2500</v>
      </c>
      <c r="G11" s="40">
        <v>2500</v>
      </c>
      <c r="H11" s="40">
        <v>2500</v>
      </c>
      <c r="I11" s="40">
        <v>2500</v>
      </c>
      <c r="J11" s="40">
        <v>2500</v>
      </c>
      <c r="K11" s="40">
        <v>2500</v>
      </c>
      <c r="L11" s="40">
        <v>2500</v>
      </c>
      <c r="M11" s="40">
        <v>2500</v>
      </c>
      <c r="N11" s="40">
        <v>2500</v>
      </c>
      <c r="O11" s="42"/>
      <c r="P11" t="s" s="30">
        <v>21</v>
      </c>
    </row>
    <row r="12" ht="15.35" customHeight="1">
      <c r="A12" t="s" s="20">
        <v>22</v>
      </c>
      <c r="B12" s="21">
        <v>330</v>
      </c>
      <c r="C12" s="22"/>
      <c r="D12" s="23">
        <v>21000</v>
      </c>
      <c r="E12" s="40">
        <v>1000</v>
      </c>
      <c r="F12" s="40">
        <v>1000</v>
      </c>
      <c r="G12" s="40">
        <v>1500</v>
      </c>
      <c r="H12" s="40">
        <v>2500</v>
      </c>
      <c r="I12" s="40">
        <v>2500</v>
      </c>
      <c r="J12" s="40">
        <v>2500</v>
      </c>
      <c r="K12" s="40">
        <v>2500</v>
      </c>
      <c r="L12" s="40">
        <v>2500</v>
      </c>
      <c r="M12" s="40">
        <v>2500</v>
      </c>
      <c r="N12" s="40">
        <v>2500</v>
      </c>
      <c r="O12" s="42"/>
      <c r="P12" t="s" s="30">
        <v>23</v>
      </c>
    </row>
    <row r="13" ht="15.35" customHeight="1">
      <c r="A13" t="s" s="20">
        <v>24</v>
      </c>
      <c r="B13" s="43">
        <v>200000</v>
      </c>
      <c r="C13" s="22"/>
      <c r="D13" s="23">
        <v>20000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t="s" s="30">
        <v>25</v>
      </c>
    </row>
    <row r="14" ht="16.5" customHeight="1">
      <c r="A14" t="s" s="20">
        <v>26</v>
      </c>
      <c r="B14" s="43">
        <v>100000</v>
      </c>
      <c r="C14" s="22"/>
      <c r="D14" s="27">
        <v>25000</v>
      </c>
      <c r="E14" s="40"/>
      <c r="F14" s="40"/>
      <c r="G14" s="40"/>
      <c r="H14" s="40"/>
      <c r="I14" s="40">
        <v>30000</v>
      </c>
      <c r="J14" s="40">
        <v>50000</v>
      </c>
      <c r="K14" s="40">
        <v>50000</v>
      </c>
      <c r="L14" s="40">
        <v>50000</v>
      </c>
      <c r="M14" s="40">
        <v>50000</v>
      </c>
      <c r="N14" s="40">
        <v>50000</v>
      </c>
      <c r="O14" s="29"/>
      <c r="P14" t="s" s="45">
        <v>27</v>
      </c>
    </row>
    <row r="15" ht="19.5" customHeight="1">
      <c r="A15" s="46"/>
      <c r="B15" s="47"/>
      <c r="C15" s="48"/>
      <c r="D15" s="34" cm="1">
        <f t="array" ref="D15">SUM(D9:D14)</f>
        <v>133000</v>
      </c>
      <c r="E15" s="35">
        <v>1</v>
      </c>
      <c r="F15" s="36">
        <v>2</v>
      </c>
      <c r="G15" s="36">
        <v>3</v>
      </c>
      <c r="H15" s="36">
        <v>4</v>
      </c>
      <c r="I15" s="36">
        <v>5</v>
      </c>
      <c r="J15" s="36">
        <v>6</v>
      </c>
      <c r="K15" s="36">
        <v>7</v>
      </c>
      <c r="L15" s="36">
        <v>8</v>
      </c>
      <c r="M15" s="36">
        <v>9</v>
      </c>
      <c r="N15" s="36">
        <v>10</v>
      </c>
      <c r="O15" t="s" s="37">
        <v>7</v>
      </c>
      <c r="P15" s="49"/>
    </row>
    <row r="16" ht="15.85" customHeight="1">
      <c r="A16" t="s" s="17">
        <v>28</v>
      </c>
      <c r="B16" t="s" s="18">
        <v>9</v>
      </c>
      <c r="C16" t="s" s="18">
        <v>10</v>
      </c>
      <c r="D16" t="s" s="38">
        <v>11</v>
      </c>
      <c r="E16" s="19">
        <v>44531</v>
      </c>
      <c r="F16" s="19">
        <v>44562</v>
      </c>
      <c r="G16" s="19">
        <v>44593</v>
      </c>
      <c r="H16" s="19">
        <v>44621</v>
      </c>
      <c r="I16" s="19">
        <v>44652</v>
      </c>
      <c r="J16" s="19">
        <v>44682</v>
      </c>
      <c r="K16" s="19">
        <v>44713</v>
      </c>
      <c r="L16" s="19">
        <v>44743</v>
      </c>
      <c r="M16" s="19">
        <v>44774</v>
      </c>
      <c r="N16" s="19">
        <v>44805</v>
      </c>
      <c r="O16" s="19">
        <v>44835</v>
      </c>
      <c r="P16" s="50"/>
    </row>
    <row r="17" ht="15.35" customHeight="1">
      <c r="A17" t="s" s="20">
        <v>29</v>
      </c>
      <c r="B17" s="21">
        <v>1</v>
      </c>
      <c r="C17" s="22">
        <v>15000</v>
      </c>
      <c r="D17" s="22">
        <v>15000</v>
      </c>
      <c r="E17" s="44"/>
      <c r="F17" s="44"/>
      <c r="G17" s="44"/>
      <c r="H17" s="39"/>
      <c r="I17" s="39"/>
      <c r="J17" s="39"/>
      <c r="K17" s="39"/>
      <c r="L17" s="39"/>
      <c r="M17" s="39"/>
      <c r="N17" s="39"/>
      <c r="O17" s="26"/>
      <c r="P17" s="25"/>
    </row>
    <row r="18" ht="15.35" customHeight="1">
      <c r="A18" t="s" s="20">
        <v>30</v>
      </c>
      <c r="B18" s="51"/>
      <c r="C18" s="22"/>
      <c r="D18" s="22"/>
      <c r="E18" s="44"/>
      <c r="F18" s="39"/>
      <c r="G18" s="39"/>
      <c r="H18" s="44"/>
      <c r="I18" s="39"/>
      <c r="J18" s="39"/>
      <c r="K18" s="44"/>
      <c r="L18" s="39"/>
      <c r="M18" s="44"/>
      <c r="N18" s="44"/>
      <c r="O18" s="42"/>
      <c r="P18" s="25"/>
    </row>
    <row r="19" ht="15.35" customHeight="1">
      <c r="A19" t="s" s="20">
        <v>31</v>
      </c>
      <c r="B19" s="51"/>
      <c r="C19" s="22"/>
      <c r="D19" s="22"/>
      <c r="E19" s="39"/>
      <c r="F19" s="39"/>
      <c r="G19" s="39"/>
      <c r="H19" s="44"/>
      <c r="I19" s="44"/>
      <c r="J19" s="44"/>
      <c r="K19" s="44"/>
      <c r="L19" s="44"/>
      <c r="M19" s="44"/>
      <c r="N19" s="44"/>
      <c r="O19" s="42"/>
      <c r="P19" s="25"/>
    </row>
    <row r="20" ht="16.5" customHeight="1">
      <c r="A20" t="s" s="20">
        <v>32</v>
      </c>
      <c r="B20" s="51"/>
      <c r="C20" s="22"/>
      <c r="D20" s="52"/>
      <c r="E20" s="39"/>
      <c r="F20" s="39"/>
      <c r="G20" s="39"/>
      <c r="H20" s="39"/>
      <c r="I20" s="39"/>
      <c r="J20" s="39"/>
      <c r="K20" s="39"/>
      <c r="L20" s="39"/>
      <c r="M20" s="44"/>
      <c r="N20" s="44"/>
      <c r="O20" s="29"/>
      <c r="P20" s="25"/>
    </row>
    <row r="21" ht="19.5" customHeight="1">
      <c r="A21" s="31"/>
      <c r="B21" s="32"/>
      <c r="C21" s="33"/>
      <c r="D21" s="34" cm="1">
        <f t="array" ref="D21">SUM(D17:D20)</f>
        <v>15000</v>
      </c>
      <c r="E21" s="35">
        <v>1</v>
      </c>
      <c r="F21" s="36">
        <v>2</v>
      </c>
      <c r="G21" s="36">
        <v>3</v>
      </c>
      <c r="H21" s="36">
        <v>4</v>
      </c>
      <c r="I21" s="36">
        <v>5</v>
      </c>
      <c r="J21" s="36">
        <v>6</v>
      </c>
      <c r="K21" s="36">
        <v>7</v>
      </c>
      <c r="L21" s="36">
        <v>8</v>
      </c>
      <c r="M21" s="36">
        <v>9</v>
      </c>
      <c r="N21" s="36">
        <v>10</v>
      </c>
      <c r="O21" t="s" s="37">
        <v>7</v>
      </c>
      <c r="P21" s="16"/>
    </row>
    <row r="22" ht="15.85" customHeight="1">
      <c r="A22" t="s" s="17">
        <v>33</v>
      </c>
      <c r="B22" t="s" s="18">
        <v>9</v>
      </c>
      <c r="C22" t="s" s="18">
        <v>10</v>
      </c>
      <c r="D22" t="s" s="38">
        <v>34</v>
      </c>
      <c r="E22" s="19">
        <v>44531</v>
      </c>
      <c r="F22" s="19">
        <v>44562</v>
      </c>
      <c r="G22" s="19">
        <v>44593</v>
      </c>
      <c r="H22" s="19">
        <v>44621</v>
      </c>
      <c r="I22" s="19">
        <v>44652</v>
      </c>
      <c r="J22" s="19">
        <v>44682</v>
      </c>
      <c r="K22" s="19">
        <v>44713</v>
      </c>
      <c r="L22" s="19">
        <v>44743</v>
      </c>
      <c r="M22" s="19">
        <v>44774</v>
      </c>
      <c r="N22" s="19">
        <v>44805</v>
      </c>
      <c r="O22" s="19">
        <v>44835</v>
      </c>
      <c r="P22" s="16"/>
    </row>
    <row r="23" ht="16.5" customHeight="1">
      <c r="A23" t="s" s="53">
        <v>35</v>
      </c>
      <c r="B23" s="54">
        <v>1</v>
      </c>
      <c r="C23" s="52">
        <v>1500</v>
      </c>
      <c r="D23" s="27">
        <v>3000</v>
      </c>
      <c r="E23" s="55"/>
      <c r="F23" s="55"/>
      <c r="G23" s="55"/>
      <c r="H23" s="55"/>
      <c r="I23" s="55"/>
      <c r="J23" s="55"/>
      <c r="K23" s="55"/>
      <c r="L23" s="55"/>
      <c r="M23" s="56"/>
      <c r="N23" s="56"/>
      <c r="O23" s="55"/>
      <c r="P23" s="25"/>
    </row>
    <row r="24" ht="15.85" customHeight="1">
      <c r="A24" t="s" s="57">
        <v>36</v>
      </c>
      <c r="B24" s="58"/>
      <c r="C24" s="59"/>
      <c r="D24" s="60"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3"/>
    </row>
    <row r="25" ht="15.35" customHeight="1">
      <c r="A25" t="s" s="64">
        <v>37</v>
      </c>
      <c r="B25" s="65">
        <v>60</v>
      </c>
      <c r="C25" s="66">
        <v>3000</v>
      </c>
      <c r="D25" s="23">
        <v>180000</v>
      </c>
      <c r="E25" s="67"/>
      <c r="F25" s="67"/>
      <c r="G25" s="65">
        <v>0</v>
      </c>
      <c r="H25" s="65">
        <v>0</v>
      </c>
      <c r="I25" s="65">
        <v>10</v>
      </c>
      <c r="J25" s="65">
        <v>10</v>
      </c>
      <c r="K25" s="65">
        <v>10</v>
      </c>
      <c r="L25" s="65">
        <v>10</v>
      </c>
      <c r="M25" s="65">
        <v>10</v>
      </c>
      <c r="N25" s="65">
        <v>10</v>
      </c>
      <c r="O25" s="68"/>
      <c r="P25" t="s" s="69">
        <v>38</v>
      </c>
    </row>
    <row r="26" ht="15.35" customHeight="1">
      <c r="A26" t="s" s="64">
        <v>39</v>
      </c>
      <c r="B26" s="65">
        <v>60</v>
      </c>
      <c r="C26" s="66">
        <v>2000</v>
      </c>
      <c r="D26" s="23">
        <v>120000</v>
      </c>
      <c r="E26" s="67"/>
      <c r="F26" s="67"/>
      <c r="G26" s="67"/>
      <c r="H26" s="67"/>
      <c r="I26" s="65">
        <v>10</v>
      </c>
      <c r="J26" s="65">
        <v>10</v>
      </c>
      <c r="K26" s="65">
        <v>10</v>
      </c>
      <c r="L26" s="65">
        <v>10</v>
      </c>
      <c r="M26" s="65">
        <v>10</v>
      </c>
      <c r="N26" s="65">
        <v>10</v>
      </c>
      <c r="O26" s="70"/>
      <c r="P26" t="s" s="69">
        <v>40</v>
      </c>
    </row>
    <row r="27" ht="16.5" customHeight="1">
      <c r="A27" t="s" s="71">
        <v>41</v>
      </c>
      <c r="B27" s="72">
        <v>700</v>
      </c>
      <c r="C27" s="73">
        <v>700</v>
      </c>
      <c r="D27" s="27">
        <v>490000</v>
      </c>
      <c r="E27" s="72">
        <v>10</v>
      </c>
      <c r="F27" s="72">
        <v>10</v>
      </c>
      <c r="G27" s="72">
        <v>10</v>
      </c>
      <c r="H27" s="72">
        <v>10</v>
      </c>
      <c r="I27" s="72">
        <v>20</v>
      </c>
      <c r="J27" s="72">
        <v>20</v>
      </c>
      <c r="K27" s="72">
        <v>20</v>
      </c>
      <c r="L27" s="72">
        <v>200</v>
      </c>
      <c r="M27" s="72">
        <v>200</v>
      </c>
      <c r="N27" s="72">
        <v>200</v>
      </c>
      <c r="O27" s="74">
        <v>100</v>
      </c>
      <c r="P27" s="63"/>
    </row>
    <row r="28" ht="15.85" customHeight="1">
      <c r="A28" t="s" s="75">
        <v>42</v>
      </c>
      <c r="B28" s="76">
        <v>360</v>
      </c>
      <c r="C28" s="59">
        <v>25</v>
      </c>
      <c r="D28" s="60">
        <v>9000</v>
      </c>
      <c r="E28" s="61"/>
      <c r="F28" s="61"/>
      <c r="G28" s="61"/>
      <c r="H28" s="61"/>
      <c r="I28" s="77">
        <v>20</v>
      </c>
      <c r="J28" s="77">
        <v>20</v>
      </c>
      <c r="K28" s="77">
        <v>20</v>
      </c>
      <c r="L28" s="77">
        <v>100</v>
      </c>
      <c r="M28" s="77">
        <v>100</v>
      </c>
      <c r="N28" s="77">
        <v>100</v>
      </c>
      <c r="O28" s="78"/>
      <c r="P28" s="25"/>
    </row>
    <row r="29" ht="15.35" customHeight="1">
      <c r="A29" t="s" s="20">
        <v>43</v>
      </c>
      <c r="B29" s="21">
        <v>27</v>
      </c>
      <c r="C29" s="22">
        <v>25</v>
      </c>
      <c r="D29" s="23">
        <v>675</v>
      </c>
      <c r="E29" s="39"/>
      <c r="F29" s="28">
        <v>2</v>
      </c>
      <c r="G29" s="28">
        <v>2</v>
      </c>
      <c r="H29" s="28">
        <v>2</v>
      </c>
      <c r="I29" s="28">
        <v>2</v>
      </c>
      <c r="J29" s="28">
        <v>2</v>
      </c>
      <c r="K29" s="28">
        <v>2</v>
      </c>
      <c r="L29" s="28">
        <v>5</v>
      </c>
      <c r="M29" s="28">
        <v>5</v>
      </c>
      <c r="N29" s="28">
        <v>5</v>
      </c>
      <c r="O29" s="79">
        <v>5</v>
      </c>
      <c r="P29" s="25"/>
    </row>
    <row r="30" ht="15.35" customHeight="1">
      <c r="A30" t="s" s="20">
        <v>44</v>
      </c>
      <c r="B30" s="21">
        <v>8</v>
      </c>
      <c r="C30" s="22">
        <v>4000</v>
      </c>
      <c r="D30" s="23">
        <v>32000</v>
      </c>
      <c r="E30" s="39"/>
      <c r="F30" s="39"/>
      <c r="G30" s="39"/>
      <c r="H30" s="39"/>
      <c r="I30" s="39"/>
      <c r="J30" s="39"/>
      <c r="K30" s="39"/>
      <c r="L30" s="39"/>
      <c r="M30" s="28">
        <v>8</v>
      </c>
      <c r="N30" s="28">
        <v>8</v>
      </c>
      <c r="O30" s="80"/>
      <c r="P30" s="25"/>
    </row>
    <row r="31" ht="15.35" customHeight="1">
      <c r="A31" t="s" s="20">
        <v>45</v>
      </c>
      <c r="B31" s="21">
        <v>7</v>
      </c>
      <c r="C31" s="22">
        <v>6000</v>
      </c>
      <c r="D31" s="23">
        <v>24000</v>
      </c>
      <c r="E31" s="39"/>
      <c r="F31" s="39"/>
      <c r="G31" s="39"/>
      <c r="H31" s="39"/>
      <c r="I31" s="39"/>
      <c r="J31" s="28">
        <v>1</v>
      </c>
      <c r="K31" s="28">
        <v>1</v>
      </c>
      <c r="L31" s="28">
        <v>1</v>
      </c>
      <c r="M31" s="28">
        <v>2</v>
      </c>
      <c r="N31" s="28">
        <v>2</v>
      </c>
      <c r="O31" s="80"/>
      <c r="P31" s="25"/>
    </row>
    <row r="32" ht="15.35" customHeight="1">
      <c r="A32" t="s" s="20">
        <v>46</v>
      </c>
      <c r="B32" t="s" s="41">
        <v>47</v>
      </c>
      <c r="C32" s="22"/>
      <c r="D32" s="23"/>
      <c r="E32" s="39"/>
      <c r="F32" s="39"/>
      <c r="G32" s="39"/>
      <c r="H32" s="39"/>
      <c r="I32" s="39"/>
      <c r="J32" s="39"/>
      <c r="K32" s="39"/>
      <c r="L32" s="44"/>
      <c r="M32" s="44"/>
      <c r="N32" s="44"/>
      <c r="O32" s="80"/>
      <c r="P32" t="s" s="30">
        <v>48</v>
      </c>
    </row>
    <row r="33" ht="15.35" customHeight="1">
      <c r="A33" t="s" s="20">
        <v>49</v>
      </c>
      <c r="B33" s="21">
        <v>200</v>
      </c>
      <c r="C33" s="22">
        <v>25</v>
      </c>
      <c r="D33" s="23">
        <v>5000</v>
      </c>
      <c r="E33" s="39"/>
      <c r="F33" s="39"/>
      <c r="G33" s="39"/>
      <c r="H33" s="39"/>
      <c r="I33" s="39"/>
      <c r="J33" s="39"/>
      <c r="K33" s="39"/>
      <c r="L33" s="39"/>
      <c r="M33" s="44"/>
      <c r="N33" s="44"/>
      <c r="O33" s="80"/>
      <c r="P33" s="25"/>
    </row>
    <row r="34" ht="15.35" customHeight="1">
      <c r="A34" t="s" s="20">
        <v>50</v>
      </c>
      <c r="B34" s="21">
        <v>5</v>
      </c>
      <c r="C34" s="22"/>
      <c r="D34" s="23"/>
      <c r="E34" s="39"/>
      <c r="F34" s="39"/>
      <c r="G34" s="39"/>
      <c r="H34" s="39"/>
      <c r="I34" s="39"/>
      <c r="J34" s="39"/>
      <c r="K34" s="44"/>
      <c r="L34" s="44"/>
      <c r="M34" s="44"/>
      <c r="N34" s="44"/>
      <c r="O34" s="26"/>
      <c r="P34" t="s" s="30">
        <v>51</v>
      </c>
    </row>
    <row r="35" ht="15.35" customHeight="1">
      <c r="A35" t="s" s="20">
        <v>52</v>
      </c>
      <c r="B35" s="21">
        <v>6</v>
      </c>
      <c r="C35" s="22">
        <v>3500</v>
      </c>
      <c r="D35" s="23"/>
      <c r="E35" s="39"/>
      <c r="F35" s="39"/>
      <c r="G35" s="39"/>
      <c r="H35" s="39"/>
      <c r="I35" s="39"/>
      <c r="J35" s="39"/>
      <c r="K35" s="39"/>
      <c r="L35" s="39"/>
      <c r="M35" s="39"/>
      <c r="N35" s="44"/>
      <c r="O35" s="42"/>
      <c r="P35" s="25"/>
    </row>
    <row r="36" ht="15.35" customHeight="1">
      <c r="A36" t="s" s="20">
        <v>53</v>
      </c>
      <c r="B36" s="21">
        <v>1</v>
      </c>
      <c r="C36" s="22">
        <v>15000</v>
      </c>
      <c r="D36" s="23"/>
      <c r="E36" s="39"/>
      <c r="F36" s="39"/>
      <c r="G36" s="39"/>
      <c r="H36" s="39"/>
      <c r="I36" s="39"/>
      <c r="J36" s="39"/>
      <c r="K36" s="39"/>
      <c r="L36" s="39"/>
      <c r="M36" s="44"/>
      <c r="N36" s="44"/>
      <c r="O36" s="42"/>
      <c r="P36" s="25"/>
    </row>
    <row r="37" ht="15.35" customHeight="1">
      <c r="A37" t="s" s="20">
        <v>54</v>
      </c>
      <c r="B37" s="21">
        <v>4</v>
      </c>
      <c r="C37" s="22">
        <v>850</v>
      </c>
      <c r="D37" s="23">
        <v>3400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2"/>
      <c r="P37" s="25"/>
    </row>
    <row r="38" ht="15.35" customHeight="1">
      <c r="A38" t="s" s="20">
        <v>55</v>
      </c>
      <c r="B38" s="21">
        <v>2</v>
      </c>
      <c r="C38" s="22">
        <v>2000</v>
      </c>
      <c r="D38" s="23">
        <v>4000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2"/>
      <c r="P38" s="25"/>
    </row>
    <row r="39" ht="16.5" customHeight="1">
      <c r="A39" t="s" s="20">
        <v>56</v>
      </c>
      <c r="B39" s="21">
        <v>200</v>
      </c>
      <c r="C39" s="22">
        <v>15</v>
      </c>
      <c r="D39" s="27">
        <v>3000</v>
      </c>
      <c r="E39" s="39"/>
      <c r="F39" s="39"/>
      <c r="G39" s="39"/>
      <c r="H39" s="39"/>
      <c r="I39" s="39"/>
      <c r="J39" s="39"/>
      <c r="K39" s="39"/>
      <c r="L39" s="39"/>
      <c r="M39" s="39"/>
      <c r="N39" s="44"/>
      <c r="O39" s="29"/>
      <c r="P39" s="25"/>
    </row>
    <row r="40" ht="19.5" customHeight="1">
      <c r="A40" s="31"/>
      <c r="B40" s="32"/>
      <c r="C40" s="33"/>
      <c r="D40" s="34" cm="1">
        <f t="array" ref="D40">SUM(D23:D39)</f>
        <v>874075</v>
      </c>
      <c r="E40" s="35">
        <v>1</v>
      </c>
      <c r="F40" s="36">
        <v>2</v>
      </c>
      <c r="G40" s="36">
        <v>3</v>
      </c>
      <c r="H40" s="36">
        <v>4</v>
      </c>
      <c r="I40" s="36">
        <v>5</v>
      </c>
      <c r="J40" s="36">
        <v>6</v>
      </c>
      <c r="K40" s="36">
        <v>7</v>
      </c>
      <c r="L40" s="36">
        <v>8</v>
      </c>
      <c r="M40" s="36">
        <v>9</v>
      </c>
      <c r="N40" s="36">
        <v>10</v>
      </c>
      <c r="O40" t="s" s="37">
        <v>7</v>
      </c>
      <c r="P40" s="16"/>
    </row>
    <row r="41" ht="15.85" customHeight="1">
      <c r="A41" t="s" s="17">
        <v>57</v>
      </c>
      <c r="B41" t="s" s="18">
        <v>9</v>
      </c>
      <c r="C41" t="s" s="18">
        <v>10</v>
      </c>
      <c r="D41" t="s" s="38">
        <v>11</v>
      </c>
      <c r="E41" s="19">
        <v>44531</v>
      </c>
      <c r="F41" s="19">
        <v>44562</v>
      </c>
      <c r="G41" s="19">
        <v>44593</v>
      </c>
      <c r="H41" s="19">
        <v>44621</v>
      </c>
      <c r="I41" s="19">
        <v>44652</v>
      </c>
      <c r="J41" s="19">
        <v>44682</v>
      </c>
      <c r="K41" s="19">
        <v>44713</v>
      </c>
      <c r="L41" s="19">
        <v>44743</v>
      </c>
      <c r="M41" s="19">
        <v>44774</v>
      </c>
      <c r="N41" s="19">
        <v>44805</v>
      </c>
      <c r="O41" s="19">
        <v>44835</v>
      </c>
      <c r="P41" s="16"/>
    </row>
    <row r="42" ht="15.35" customHeight="1">
      <c r="A42" t="s" s="20">
        <v>58</v>
      </c>
      <c r="B42" s="43">
        <v>30000</v>
      </c>
      <c r="C42" s="22"/>
      <c r="D42" s="23"/>
      <c r="E42" s="39"/>
      <c r="F42" s="39"/>
      <c r="G42" s="39"/>
      <c r="H42" s="39"/>
      <c r="I42" s="39"/>
      <c r="J42" s="40">
        <v>10000</v>
      </c>
      <c r="K42" s="40">
        <v>10000</v>
      </c>
      <c r="L42" s="40">
        <v>10000</v>
      </c>
      <c r="M42" s="39"/>
      <c r="N42" s="39"/>
      <c r="O42" s="26"/>
      <c r="P42" t="s" s="30">
        <v>59</v>
      </c>
    </row>
    <row r="43" ht="15.35" customHeight="1">
      <c r="A43" t="s" s="20">
        <v>60</v>
      </c>
      <c r="B43" s="43">
        <v>50000</v>
      </c>
      <c r="C43" s="22"/>
      <c r="D43" s="23"/>
      <c r="E43" s="39"/>
      <c r="F43" s="39"/>
      <c r="G43" s="39"/>
      <c r="H43" s="39"/>
      <c r="I43" s="39"/>
      <c r="J43" s="39"/>
      <c r="K43" s="39"/>
      <c r="L43" s="39"/>
      <c r="M43" s="40">
        <v>30000</v>
      </c>
      <c r="N43" s="40">
        <v>300000</v>
      </c>
      <c r="O43" s="42"/>
      <c r="P43" t="s" s="30">
        <v>61</v>
      </c>
    </row>
    <row r="44" ht="15.35" customHeight="1">
      <c r="A44" t="s" s="20">
        <v>62</v>
      </c>
      <c r="B44" s="43">
        <v>250000</v>
      </c>
      <c r="C44" s="22"/>
      <c r="D44" s="23"/>
      <c r="E44" s="39"/>
      <c r="F44" s="39"/>
      <c r="G44" s="39"/>
      <c r="H44" s="39"/>
      <c r="I44" s="39"/>
      <c r="J44" s="39"/>
      <c r="K44" s="39"/>
      <c r="L44" s="39"/>
      <c r="M44" s="40">
        <v>125000</v>
      </c>
      <c r="N44" s="40">
        <v>125000</v>
      </c>
      <c r="O44" s="42"/>
      <c r="P44" s="25"/>
    </row>
    <row r="45" ht="15.35" customHeight="1">
      <c r="A45" t="s" s="20">
        <v>63</v>
      </c>
      <c r="B45" s="43">
        <v>20000</v>
      </c>
      <c r="C45" s="22"/>
      <c r="D45" s="23"/>
      <c r="E45" s="39"/>
      <c r="F45" s="39"/>
      <c r="G45" s="39"/>
      <c r="H45" s="39"/>
      <c r="I45" s="39"/>
      <c r="J45" s="39"/>
      <c r="K45" s="39"/>
      <c r="L45" s="39"/>
      <c r="M45" s="40">
        <v>10000</v>
      </c>
      <c r="N45" s="40">
        <v>10000</v>
      </c>
      <c r="O45" s="29"/>
      <c r="P45" s="25"/>
    </row>
    <row r="46" ht="15.35" customHeight="1">
      <c r="A46" t="s" s="20">
        <v>64</v>
      </c>
      <c r="B46" s="43">
        <v>500000</v>
      </c>
      <c r="C46" s="22"/>
      <c r="D46" s="23"/>
      <c r="E46" s="39"/>
      <c r="F46" s="39"/>
      <c r="G46" s="39"/>
      <c r="H46" s="39"/>
      <c r="I46" s="39"/>
      <c r="J46" s="39"/>
      <c r="K46" s="39"/>
      <c r="L46" s="39"/>
      <c r="M46" s="44"/>
      <c r="N46" s="44"/>
      <c r="O46" s="81"/>
      <c r="P46" s="25"/>
    </row>
    <row r="47" ht="15.35" customHeight="1">
      <c r="A47" t="s" s="20">
        <v>65</v>
      </c>
      <c r="B47" s="43">
        <v>2000</v>
      </c>
      <c r="C47" s="22"/>
      <c r="D47" s="23"/>
      <c r="E47" s="39"/>
      <c r="F47" s="39"/>
      <c r="G47" s="39"/>
      <c r="H47" s="39"/>
      <c r="I47" s="39"/>
      <c r="J47" s="39"/>
      <c r="K47" s="39"/>
      <c r="L47" s="39"/>
      <c r="M47" s="40">
        <v>1000</v>
      </c>
      <c r="N47" s="40">
        <v>1000</v>
      </c>
      <c r="O47" s="26"/>
      <c r="P47" t="s" s="30">
        <v>66</v>
      </c>
    </row>
    <row r="48" ht="15.35" customHeight="1">
      <c r="A48" t="s" s="20">
        <v>67</v>
      </c>
      <c r="B48" s="21">
        <v>100</v>
      </c>
      <c r="C48" s="22"/>
      <c r="D48" s="23"/>
      <c r="E48" s="39"/>
      <c r="F48" s="39"/>
      <c r="G48" s="39"/>
      <c r="H48" s="39"/>
      <c r="I48" s="39"/>
      <c r="J48" s="39"/>
      <c r="K48" s="39"/>
      <c r="L48" s="39"/>
      <c r="M48" s="44"/>
      <c r="N48" s="44"/>
      <c r="O48" s="42"/>
      <c r="P48" s="25"/>
    </row>
    <row r="49" ht="15.35" customHeight="1">
      <c r="A49" t="s" s="20">
        <v>68</v>
      </c>
      <c r="B49" s="43">
        <v>5000</v>
      </c>
      <c r="C49" s="22"/>
      <c r="D49" s="23"/>
      <c r="E49" s="39"/>
      <c r="F49" s="39"/>
      <c r="G49" s="39"/>
      <c r="H49" s="39"/>
      <c r="I49" s="39"/>
      <c r="J49" s="39"/>
      <c r="K49" s="39"/>
      <c r="L49" s="39"/>
      <c r="M49" s="44"/>
      <c r="N49" s="44"/>
      <c r="O49" s="42"/>
      <c r="P49" s="25"/>
    </row>
    <row r="50" ht="16.5" customHeight="1">
      <c r="A50" t="s" s="20">
        <v>69</v>
      </c>
      <c r="B50" s="43">
        <v>500</v>
      </c>
      <c r="C50" s="22"/>
      <c r="D50" s="27"/>
      <c r="E50" s="39"/>
      <c r="F50" s="39"/>
      <c r="G50" s="39"/>
      <c r="H50" s="39"/>
      <c r="I50" s="39"/>
      <c r="J50" s="39"/>
      <c r="K50" s="39"/>
      <c r="L50" s="39"/>
      <c r="M50" s="44"/>
      <c r="N50" s="44"/>
      <c r="O50" s="29"/>
      <c r="P50" s="25"/>
    </row>
    <row r="51" ht="19.5" customHeight="1">
      <c r="A51" s="31"/>
      <c r="B51" s="32"/>
      <c r="C51" s="33"/>
      <c r="D51" s="82">
        <v>50000</v>
      </c>
      <c r="E51" s="35">
        <v>1</v>
      </c>
      <c r="F51" s="36">
        <v>2</v>
      </c>
      <c r="G51" s="36">
        <v>3</v>
      </c>
      <c r="H51" s="36">
        <v>4</v>
      </c>
      <c r="I51" s="36">
        <v>5</v>
      </c>
      <c r="J51" s="36">
        <v>6</v>
      </c>
      <c r="K51" s="36">
        <v>7</v>
      </c>
      <c r="L51" s="36">
        <v>8</v>
      </c>
      <c r="M51" s="36">
        <v>9</v>
      </c>
      <c r="N51" s="36">
        <v>10</v>
      </c>
      <c r="O51" t="s" s="37">
        <v>7</v>
      </c>
      <c r="P51" s="16"/>
    </row>
    <row r="52" ht="15.85" customHeight="1">
      <c r="A52" t="s" s="17">
        <v>70</v>
      </c>
      <c r="B52" t="s" s="18">
        <v>9</v>
      </c>
      <c r="C52" t="s" s="18">
        <v>10</v>
      </c>
      <c r="D52" t="s" s="38">
        <v>11</v>
      </c>
      <c r="E52" s="19">
        <v>44531</v>
      </c>
      <c r="F52" s="19">
        <v>44562</v>
      </c>
      <c r="G52" s="19">
        <v>44593</v>
      </c>
      <c r="H52" s="19">
        <v>44621</v>
      </c>
      <c r="I52" s="19">
        <v>44652</v>
      </c>
      <c r="J52" s="19">
        <v>44682</v>
      </c>
      <c r="K52" s="19">
        <v>44713</v>
      </c>
      <c r="L52" s="19">
        <v>44743</v>
      </c>
      <c r="M52" s="19">
        <v>44774</v>
      </c>
      <c r="N52" s="19">
        <v>44805</v>
      </c>
      <c r="O52" s="19">
        <v>44835</v>
      </c>
      <c r="P52" s="16"/>
    </row>
    <row r="53" ht="15.35" customHeight="1">
      <c r="A53" t="s" s="20">
        <v>71</v>
      </c>
      <c r="B53" s="21">
        <v>55</v>
      </c>
      <c r="C53" s="22">
        <v>0</v>
      </c>
      <c r="D53" s="23"/>
      <c r="E53" s="83">
        <v>4</v>
      </c>
      <c r="F53" s="83">
        <v>4</v>
      </c>
      <c r="G53" s="83">
        <v>4</v>
      </c>
      <c r="H53" s="83">
        <v>4</v>
      </c>
      <c r="I53" s="83">
        <v>4</v>
      </c>
      <c r="J53" s="28">
        <v>16</v>
      </c>
      <c r="K53" s="28">
        <v>16</v>
      </c>
      <c r="L53" s="28">
        <v>16</v>
      </c>
      <c r="M53" s="28">
        <v>16</v>
      </c>
      <c r="N53" s="28">
        <v>16</v>
      </c>
      <c r="O53" s="39"/>
      <c r="P53" t="s" s="30">
        <v>72</v>
      </c>
    </row>
    <row r="54" ht="15.35" customHeight="1">
      <c r="A54" t="s" s="84">
        <v>73</v>
      </c>
      <c r="B54" s="85">
        <v>21</v>
      </c>
      <c r="C54" s="86">
        <v>1500</v>
      </c>
      <c r="D54" s="23" cm="1">
        <f t="array" ref="D54">B54*C54</f>
        <v>31500</v>
      </c>
      <c r="E54" s="85">
        <v>1</v>
      </c>
      <c r="F54" s="85">
        <v>1</v>
      </c>
      <c r="G54" s="85">
        <v>1</v>
      </c>
      <c r="H54" s="85">
        <v>1</v>
      </c>
      <c r="I54" s="85">
        <v>1</v>
      </c>
      <c r="J54" s="85">
        <v>4</v>
      </c>
      <c r="K54" s="85">
        <v>4</v>
      </c>
      <c r="L54" s="85">
        <v>4</v>
      </c>
      <c r="M54" s="85">
        <v>4</v>
      </c>
      <c r="N54" s="85">
        <v>4</v>
      </c>
      <c r="O54" s="39"/>
      <c r="P54" s="25"/>
    </row>
    <row r="55" ht="15.35" customHeight="1">
      <c r="A55" t="s" s="84">
        <v>74</v>
      </c>
      <c r="B55" s="85">
        <v>21</v>
      </c>
      <c r="C55" s="86">
        <v>1500</v>
      </c>
      <c r="D55" s="23" cm="1">
        <f t="array" ref="D55">B55*C55</f>
        <v>31500</v>
      </c>
      <c r="E55" s="85">
        <v>1</v>
      </c>
      <c r="F55" s="85">
        <v>1</v>
      </c>
      <c r="G55" s="85">
        <v>1</v>
      </c>
      <c r="H55" s="85">
        <v>1</v>
      </c>
      <c r="I55" s="85">
        <v>1</v>
      </c>
      <c r="J55" s="85">
        <v>4</v>
      </c>
      <c r="K55" s="85">
        <v>4</v>
      </c>
      <c r="L55" s="85">
        <v>4</v>
      </c>
      <c r="M55" s="85">
        <v>4</v>
      </c>
      <c r="N55" s="85">
        <v>4</v>
      </c>
      <c r="O55" s="39"/>
      <c r="P55" s="25"/>
    </row>
    <row r="56" ht="15.35" customHeight="1">
      <c r="A56" t="s" s="84">
        <v>75</v>
      </c>
      <c r="B56" s="85">
        <v>15</v>
      </c>
      <c r="C56" s="86">
        <v>1000</v>
      </c>
      <c r="D56" s="23" cm="1">
        <f t="array" ref="D56">B56*C56</f>
        <v>15000</v>
      </c>
      <c r="E56" s="85">
        <v>1</v>
      </c>
      <c r="F56" s="85">
        <v>1</v>
      </c>
      <c r="G56" s="85">
        <v>1</v>
      </c>
      <c r="H56" s="85">
        <v>1</v>
      </c>
      <c r="I56" s="85">
        <v>1</v>
      </c>
      <c r="J56" s="85">
        <v>4</v>
      </c>
      <c r="K56" s="85">
        <v>4</v>
      </c>
      <c r="L56" s="85">
        <v>4</v>
      </c>
      <c r="M56" s="85">
        <v>4</v>
      </c>
      <c r="N56" s="85">
        <v>4</v>
      </c>
      <c r="O56" s="39"/>
      <c r="P56" s="25"/>
    </row>
    <row r="57" ht="15.35" customHeight="1">
      <c r="A57" t="s" s="84">
        <v>76</v>
      </c>
      <c r="B57" s="85">
        <v>10</v>
      </c>
      <c r="C57" s="86">
        <v>500</v>
      </c>
      <c r="D57" s="23" cm="1">
        <f t="array" ref="D57">B57*C57</f>
        <v>5000</v>
      </c>
      <c r="E57" s="85">
        <v>1</v>
      </c>
      <c r="F57" s="85">
        <v>1</v>
      </c>
      <c r="G57" s="85">
        <v>1</v>
      </c>
      <c r="H57" s="85">
        <v>1</v>
      </c>
      <c r="I57" s="85">
        <v>1</v>
      </c>
      <c r="J57" s="85">
        <v>4</v>
      </c>
      <c r="K57" s="85">
        <v>4</v>
      </c>
      <c r="L57" s="85">
        <v>4</v>
      </c>
      <c r="M57" s="85">
        <v>4</v>
      </c>
      <c r="N57" s="85">
        <v>4</v>
      </c>
      <c r="O57" s="39"/>
      <c r="P57" s="25"/>
    </row>
    <row r="58" ht="15.35" customHeight="1">
      <c r="A58" t="s" s="20">
        <v>77</v>
      </c>
      <c r="B58" s="21">
        <v>55</v>
      </c>
      <c r="C58" s="22">
        <v>0</v>
      </c>
      <c r="D58" s="2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39"/>
      <c r="P58" t="s" s="30">
        <v>78</v>
      </c>
    </row>
    <row r="59" ht="15.35" customHeight="1">
      <c r="A59" t="s" s="84">
        <v>73</v>
      </c>
      <c r="B59" s="85">
        <v>21</v>
      </c>
      <c r="C59" s="86">
        <v>700</v>
      </c>
      <c r="D59" s="23" cm="1">
        <f t="array" ref="D59">B59*C59</f>
        <v>14700</v>
      </c>
      <c r="E59" s="85">
        <v>1</v>
      </c>
      <c r="F59" s="85">
        <v>1</v>
      </c>
      <c r="G59" s="85">
        <v>1</v>
      </c>
      <c r="H59" s="85">
        <v>1</v>
      </c>
      <c r="I59" s="85">
        <v>1</v>
      </c>
      <c r="J59" s="85">
        <v>4</v>
      </c>
      <c r="K59" s="85">
        <v>4</v>
      </c>
      <c r="L59" s="85">
        <v>4</v>
      </c>
      <c r="M59" s="85">
        <v>4</v>
      </c>
      <c r="N59" s="85">
        <v>4</v>
      </c>
      <c r="O59" s="39"/>
      <c r="P59" s="25"/>
    </row>
    <row r="60" ht="15.35" customHeight="1">
      <c r="A60" t="s" s="84">
        <v>75</v>
      </c>
      <c r="B60" s="85">
        <v>21</v>
      </c>
      <c r="C60" s="86">
        <v>700</v>
      </c>
      <c r="D60" s="23" cm="1">
        <f t="array" ref="D60">B60*C60</f>
        <v>14700</v>
      </c>
      <c r="E60" s="85">
        <v>1</v>
      </c>
      <c r="F60" s="85">
        <v>1</v>
      </c>
      <c r="G60" s="85">
        <v>1</v>
      </c>
      <c r="H60" s="85">
        <v>1</v>
      </c>
      <c r="I60" s="85">
        <v>1</v>
      </c>
      <c r="J60" s="85">
        <v>4</v>
      </c>
      <c r="K60" s="85">
        <v>4</v>
      </c>
      <c r="L60" s="85">
        <v>4</v>
      </c>
      <c r="M60" s="85">
        <v>4</v>
      </c>
      <c r="N60" s="85">
        <v>4</v>
      </c>
      <c r="O60" s="39"/>
      <c r="P60" s="25"/>
    </row>
    <row r="61" ht="15.35" customHeight="1">
      <c r="A61" t="s" s="84">
        <v>76</v>
      </c>
      <c r="B61" s="85">
        <v>10</v>
      </c>
      <c r="C61" s="86">
        <v>300</v>
      </c>
      <c r="D61" s="23" cm="1">
        <f t="array" ref="D61">B61*C61</f>
        <v>3000</v>
      </c>
      <c r="E61" s="87"/>
      <c r="F61" s="87"/>
      <c r="G61" s="87"/>
      <c r="H61" s="87"/>
      <c r="I61" s="87"/>
      <c r="J61" s="85">
        <v>1</v>
      </c>
      <c r="K61" s="85">
        <v>1</v>
      </c>
      <c r="L61" s="85">
        <v>1</v>
      </c>
      <c r="M61" s="85">
        <v>1</v>
      </c>
      <c r="N61" s="85">
        <v>1</v>
      </c>
      <c r="O61" s="39"/>
      <c r="P61" s="88"/>
    </row>
    <row r="62" ht="15.35" customHeight="1">
      <c r="A62" t="s" s="20">
        <v>79</v>
      </c>
      <c r="B62" s="89"/>
      <c r="C62" s="90"/>
      <c r="D62" s="91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2"/>
      <c r="P62" s="93"/>
    </row>
    <row r="63" ht="15.35" customHeight="1">
      <c r="A63" t="s" s="84">
        <v>80</v>
      </c>
      <c r="B63" s="87"/>
      <c r="C63" s="86"/>
      <c r="D63" s="23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9"/>
      <c r="P63" s="94"/>
    </row>
    <row r="64" ht="15.35" customHeight="1">
      <c r="A64" t="s" s="84">
        <v>81</v>
      </c>
      <c r="B64" s="87"/>
      <c r="C64" s="86"/>
      <c r="D64" s="23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9"/>
      <c r="P64" s="25"/>
    </row>
    <row r="65" ht="15.35" customHeight="1">
      <c r="A65" t="s" s="84">
        <v>82</v>
      </c>
      <c r="B65" s="87"/>
      <c r="C65" s="86"/>
      <c r="D65" s="23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9"/>
      <c r="P65" s="25"/>
    </row>
    <row r="66" ht="15.35" customHeight="1">
      <c r="A66" t="s" s="84">
        <v>83</v>
      </c>
      <c r="B66" s="87"/>
      <c r="C66" s="86"/>
      <c r="D66" s="23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9"/>
      <c r="P66" s="25"/>
    </row>
    <row r="67" ht="15.35" customHeight="1">
      <c r="A67" t="s" s="84">
        <v>84</v>
      </c>
      <c r="B67" s="87"/>
      <c r="C67" s="86"/>
      <c r="D67" s="23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39"/>
      <c r="P67" s="25"/>
    </row>
    <row r="68" ht="15.35" customHeight="1">
      <c r="A68" t="s" s="84">
        <v>85</v>
      </c>
      <c r="B68" s="87"/>
      <c r="C68" s="86"/>
      <c r="D68" s="23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9"/>
      <c r="P68" s="25"/>
    </row>
    <row r="69" ht="15.35" customHeight="1">
      <c r="A69" t="s" s="84">
        <v>86</v>
      </c>
      <c r="B69" s="87"/>
      <c r="C69" s="86"/>
      <c r="D69" s="23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39"/>
      <c r="P69" s="25"/>
    </row>
    <row r="70" ht="15.35" customHeight="1">
      <c r="A70" t="s" s="84">
        <v>87</v>
      </c>
      <c r="B70" s="87"/>
      <c r="C70" s="86"/>
      <c r="D70" s="23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39"/>
      <c r="P70" s="25"/>
    </row>
    <row r="71" ht="16.5" customHeight="1">
      <c r="A71" t="s" s="84">
        <v>88</v>
      </c>
      <c r="B71" s="87"/>
      <c r="C71" s="86"/>
      <c r="D71" s="2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9"/>
      <c r="P71" s="25"/>
    </row>
    <row r="72" ht="19.5" customHeight="1">
      <c r="A72" s="31"/>
      <c r="B72" s="32"/>
      <c r="C72" s="33"/>
      <c r="D72" s="34" cm="1">
        <f t="array" ref="D72">SUM(D53:D71)</f>
        <v>115400</v>
      </c>
      <c r="E72" s="35">
        <v>1</v>
      </c>
      <c r="F72" s="36">
        <v>2</v>
      </c>
      <c r="G72" s="36">
        <v>3</v>
      </c>
      <c r="H72" s="36">
        <v>4</v>
      </c>
      <c r="I72" s="36">
        <v>5</v>
      </c>
      <c r="J72" s="36">
        <v>6</v>
      </c>
      <c r="K72" s="36">
        <v>7</v>
      </c>
      <c r="L72" s="36">
        <v>8</v>
      </c>
      <c r="M72" s="36">
        <v>9</v>
      </c>
      <c r="N72" s="36">
        <v>10</v>
      </c>
      <c r="O72" t="s" s="37">
        <v>7</v>
      </c>
      <c r="P72" s="16"/>
    </row>
    <row r="73" ht="15.85" customHeight="1">
      <c r="A73" t="s" s="17">
        <v>89</v>
      </c>
      <c r="B73" t="s" s="18">
        <v>9</v>
      </c>
      <c r="C73" t="s" s="18">
        <v>10</v>
      </c>
      <c r="D73" t="s" s="38">
        <v>11</v>
      </c>
      <c r="E73" s="19">
        <v>44531</v>
      </c>
      <c r="F73" s="19">
        <v>44562</v>
      </c>
      <c r="G73" s="19">
        <v>44593</v>
      </c>
      <c r="H73" s="19">
        <v>44621</v>
      </c>
      <c r="I73" s="19">
        <v>44652</v>
      </c>
      <c r="J73" s="19">
        <v>44682</v>
      </c>
      <c r="K73" s="19">
        <v>44713</v>
      </c>
      <c r="L73" s="19">
        <v>44743</v>
      </c>
      <c r="M73" s="19">
        <v>44774</v>
      </c>
      <c r="N73" s="19">
        <v>44805</v>
      </c>
      <c r="O73" s="19">
        <v>44835</v>
      </c>
      <c r="P73" s="16"/>
    </row>
    <row r="74" ht="15.35" customHeight="1">
      <c r="A74" t="s" s="20">
        <v>90</v>
      </c>
      <c r="B74" s="21">
        <v>1</v>
      </c>
      <c r="C74" s="22">
        <v>1500</v>
      </c>
      <c r="D74" s="23">
        <v>1500</v>
      </c>
      <c r="E74" s="39"/>
      <c r="F74" s="44"/>
      <c r="G74" s="39"/>
      <c r="H74" s="39"/>
      <c r="I74" s="39"/>
      <c r="J74" s="39"/>
      <c r="K74" s="39"/>
      <c r="L74" s="39"/>
      <c r="M74" s="39"/>
      <c r="N74" s="39"/>
      <c r="O74" s="39"/>
      <c r="P74" s="25"/>
    </row>
    <row r="75" ht="15.35" customHeight="1">
      <c r="A75" t="s" s="20">
        <v>91</v>
      </c>
      <c r="B75" s="21">
        <v>2</v>
      </c>
      <c r="C75" s="22">
        <v>3500</v>
      </c>
      <c r="D75" s="23">
        <v>6000</v>
      </c>
      <c r="E75" s="39"/>
      <c r="F75" s="44"/>
      <c r="G75" s="39"/>
      <c r="H75" s="39"/>
      <c r="I75" s="39"/>
      <c r="J75" s="39"/>
      <c r="K75" s="39"/>
      <c r="L75" s="39"/>
      <c r="M75" s="39"/>
      <c r="N75" s="39"/>
      <c r="O75" s="39"/>
      <c r="P75" s="25"/>
    </row>
    <row r="76" ht="15.35" customHeight="1">
      <c r="A76" t="s" s="20">
        <v>92</v>
      </c>
      <c r="B76" s="21">
        <v>2</v>
      </c>
      <c r="C76" s="22">
        <v>1000</v>
      </c>
      <c r="D76" s="23">
        <v>2000</v>
      </c>
      <c r="E76" s="39"/>
      <c r="F76" s="44"/>
      <c r="G76" s="39"/>
      <c r="H76" s="39"/>
      <c r="I76" s="39"/>
      <c r="J76" s="39"/>
      <c r="K76" s="39"/>
      <c r="L76" s="39"/>
      <c r="M76" s="39"/>
      <c r="N76" s="39"/>
      <c r="O76" s="39"/>
      <c r="P76" s="25"/>
    </row>
    <row r="77" ht="15.35" customHeight="1">
      <c r="A77" t="s" s="20">
        <v>93</v>
      </c>
      <c r="B77" s="21">
        <v>2</v>
      </c>
      <c r="C77" s="22">
        <v>600</v>
      </c>
      <c r="D77" s="23">
        <v>1200</v>
      </c>
      <c r="E77" s="39"/>
      <c r="F77" s="44"/>
      <c r="G77" s="39"/>
      <c r="H77" s="39"/>
      <c r="I77" s="39"/>
      <c r="J77" s="39"/>
      <c r="K77" s="39"/>
      <c r="L77" s="39"/>
      <c r="M77" s="39"/>
      <c r="N77" s="39"/>
      <c r="O77" s="39"/>
      <c r="P77" s="25"/>
    </row>
    <row r="78" ht="15.35" customHeight="1">
      <c r="A78" t="s" s="20">
        <v>94</v>
      </c>
      <c r="B78" s="21">
        <v>2</v>
      </c>
      <c r="C78" s="22">
        <v>600</v>
      </c>
      <c r="D78" s="23">
        <v>1200</v>
      </c>
      <c r="E78" s="39"/>
      <c r="F78" s="44"/>
      <c r="G78" s="39"/>
      <c r="H78" s="39"/>
      <c r="I78" s="39"/>
      <c r="J78" s="39"/>
      <c r="K78" s="39"/>
      <c r="L78" s="39"/>
      <c r="M78" s="39"/>
      <c r="N78" s="39"/>
      <c r="O78" s="39"/>
      <c r="P78" s="25"/>
    </row>
    <row r="79" ht="15.35" customHeight="1">
      <c r="A79" t="s" s="20">
        <v>95</v>
      </c>
      <c r="B79" s="21">
        <v>2</v>
      </c>
      <c r="C79" s="22">
        <v>4000</v>
      </c>
      <c r="D79" s="23">
        <v>8000</v>
      </c>
      <c r="E79" s="39"/>
      <c r="F79" s="44"/>
      <c r="G79" s="39"/>
      <c r="H79" s="39"/>
      <c r="I79" s="39"/>
      <c r="J79" s="39"/>
      <c r="K79" s="39"/>
      <c r="L79" s="39"/>
      <c r="M79" s="39"/>
      <c r="N79" s="39"/>
      <c r="O79" s="39"/>
      <c r="P79" s="25"/>
    </row>
    <row r="80" ht="15.35" customHeight="1">
      <c r="A80" t="s" s="20">
        <v>96</v>
      </c>
      <c r="B80" s="21">
        <v>1</v>
      </c>
      <c r="C80" s="22">
        <v>350</v>
      </c>
      <c r="D80" s="23">
        <v>350</v>
      </c>
      <c r="E80" s="39"/>
      <c r="F80" s="44"/>
      <c r="G80" s="39"/>
      <c r="H80" s="39"/>
      <c r="I80" s="39"/>
      <c r="J80" s="39"/>
      <c r="K80" s="39"/>
      <c r="L80" s="39"/>
      <c r="M80" s="39"/>
      <c r="N80" s="39"/>
      <c r="O80" s="39"/>
      <c r="P80" s="25"/>
    </row>
    <row r="81" ht="15.35" customHeight="1">
      <c r="A81" t="s" s="20">
        <v>97</v>
      </c>
      <c r="B81" s="21">
        <v>1</v>
      </c>
      <c r="C81" s="22">
        <v>500</v>
      </c>
      <c r="D81" s="23">
        <v>500</v>
      </c>
      <c r="E81" s="39"/>
      <c r="F81" s="44"/>
      <c r="G81" s="39"/>
      <c r="H81" s="39"/>
      <c r="I81" s="39"/>
      <c r="J81" s="39"/>
      <c r="K81" s="39"/>
      <c r="L81" s="39"/>
      <c r="M81" s="39"/>
      <c r="N81" s="39"/>
      <c r="O81" s="39"/>
      <c r="P81" s="25"/>
    </row>
    <row r="82" ht="16.5" customHeight="1">
      <c r="A82" t="s" s="20">
        <v>98</v>
      </c>
      <c r="B82" s="21">
        <v>1</v>
      </c>
      <c r="C82" s="22">
        <v>350</v>
      </c>
      <c r="D82" s="27">
        <v>350</v>
      </c>
      <c r="E82" s="39"/>
      <c r="F82" s="44"/>
      <c r="G82" s="39"/>
      <c r="H82" s="39"/>
      <c r="I82" s="39"/>
      <c r="J82" s="39"/>
      <c r="K82" s="39"/>
      <c r="L82" s="39"/>
      <c r="M82" s="39"/>
      <c r="N82" s="39"/>
      <c r="O82" s="39"/>
      <c r="P82" s="25"/>
    </row>
    <row r="83" ht="19.5" customHeight="1">
      <c r="A83" s="31"/>
      <c r="B83" s="32"/>
      <c r="C83" s="33"/>
      <c r="D83" s="82" cm="1">
        <f t="array" ref="D83">SUM(D74:D82)</f>
        <v>21100</v>
      </c>
      <c r="E83" s="35">
        <v>1</v>
      </c>
      <c r="F83" s="36">
        <v>2</v>
      </c>
      <c r="G83" s="36">
        <v>3</v>
      </c>
      <c r="H83" s="36">
        <v>4</v>
      </c>
      <c r="I83" s="36">
        <v>5</v>
      </c>
      <c r="J83" s="36">
        <v>6</v>
      </c>
      <c r="K83" s="36">
        <v>7</v>
      </c>
      <c r="L83" s="36">
        <v>8</v>
      </c>
      <c r="M83" s="36">
        <v>9</v>
      </c>
      <c r="N83" s="36">
        <v>10</v>
      </c>
      <c r="O83" t="s" s="37">
        <v>7</v>
      </c>
      <c r="P83" s="16"/>
    </row>
    <row r="84" ht="15.85" customHeight="1">
      <c r="A84" t="s" s="17">
        <v>99</v>
      </c>
      <c r="B84" t="s" s="18">
        <v>9</v>
      </c>
      <c r="C84" t="s" s="18">
        <v>10</v>
      </c>
      <c r="D84" t="s" s="38">
        <v>11</v>
      </c>
      <c r="E84" s="19">
        <v>44531</v>
      </c>
      <c r="F84" s="19">
        <v>44562</v>
      </c>
      <c r="G84" s="19">
        <v>44593</v>
      </c>
      <c r="H84" s="19">
        <v>44621</v>
      </c>
      <c r="I84" s="19">
        <v>44652</v>
      </c>
      <c r="J84" s="19">
        <v>44682</v>
      </c>
      <c r="K84" s="19">
        <v>44713</v>
      </c>
      <c r="L84" s="19">
        <v>44743</v>
      </c>
      <c r="M84" s="19">
        <v>44774</v>
      </c>
      <c r="N84" s="19">
        <v>44805</v>
      </c>
      <c r="O84" s="19">
        <v>44835</v>
      </c>
      <c r="P84" s="16"/>
    </row>
    <row r="85" ht="15.35" customHeight="1">
      <c r="A85" t="s" s="20">
        <v>26</v>
      </c>
      <c r="B85" s="21">
        <v>1</v>
      </c>
      <c r="C85" s="22">
        <v>500</v>
      </c>
      <c r="D85" s="23">
        <v>500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25"/>
    </row>
    <row r="86" ht="15.35" customHeight="1">
      <c r="A86" t="s" s="20">
        <v>100</v>
      </c>
      <c r="B86" s="21">
        <v>1</v>
      </c>
      <c r="C86" s="22">
        <v>500</v>
      </c>
      <c r="D86" s="23">
        <v>500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25"/>
    </row>
    <row r="87" ht="16.5" customHeight="1">
      <c r="A87" t="s" s="20">
        <v>101</v>
      </c>
      <c r="B87" s="21">
        <v>1</v>
      </c>
      <c r="C87" s="22">
        <v>5000</v>
      </c>
      <c r="D87" s="27">
        <v>5000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25"/>
    </row>
    <row r="88" ht="19.5" customHeight="1">
      <c r="A88" s="31"/>
      <c r="B88" s="32"/>
      <c r="C88" s="33"/>
      <c r="D88" s="82" cm="1">
        <f t="array" ref="D88">SUM(D85:D87)</f>
        <v>6000</v>
      </c>
      <c r="E88" s="35">
        <v>1</v>
      </c>
      <c r="F88" s="36">
        <v>2</v>
      </c>
      <c r="G88" s="36">
        <v>3</v>
      </c>
      <c r="H88" s="36">
        <v>4</v>
      </c>
      <c r="I88" s="36">
        <v>5</v>
      </c>
      <c r="J88" s="36">
        <v>6</v>
      </c>
      <c r="K88" s="36">
        <v>7</v>
      </c>
      <c r="L88" s="36">
        <v>8</v>
      </c>
      <c r="M88" s="36">
        <v>9</v>
      </c>
      <c r="N88" s="36">
        <v>10</v>
      </c>
      <c r="O88" t="s" s="37">
        <v>7</v>
      </c>
      <c r="P88" s="16"/>
    </row>
    <row r="89" ht="15.85" customHeight="1">
      <c r="A89" t="s" s="17">
        <v>102</v>
      </c>
      <c r="B89" t="s" s="18">
        <v>9</v>
      </c>
      <c r="C89" t="s" s="18">
        <v>10</v>
      </c>
      <c r="D89" t="s" s="38">
        <v>11</v>
      </c>
      <c r="E89" s="19">
        <v>44531</v>
      </c>
      <c r="F89" s="19">
        <v>44562</v>
      </c>
      <c r="G89" s="19">
        <v>44593</v>
      </c>
      <c r="H89" s="19">
        <v>44621</v>
      </c>
      <c r="I89" s="19">
        <v>44652</v>
      </c>
      <c r="J89" s="19">
        <v>44682</v>
      </c>
      <c r="K89" s="19">
        <v>44713</v>
      </c>
      <c r="L89" s="19">
        <v>44743</v>
      </c>
      <c r="M89" s="19">
        <v>44774</v>
      </c>
      <c r="N89" s="19">
        <v>44805</v>
      </c>
      <c r="O89" s="19">
        <v>44835</v>
      </c>
      <c r="P89" s="16"/>
    </row>
    <row r="90" ht="15.35" customHeight="1">
      <c r="A90" t="s" s="20">
        <v>103</v>
      </c>
      <c r="B90" s="43">
        <v>1000</v>
      </c>
      <c r="C90" s="22">
        <v>70</v>
      </c>
      <c r="D90" s="23">
        <v>70000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39"/>
      <c r="P90" s="25"/>
    </row>
    <row r="91" ht="15.35" customHeight="1">
      <c r="A91" t="s" s="20">
        <v>104</v>
      </c>
      <c r="B91" s="51"/>
      <c r="C91" s="22"/>
      <c r="D91" s="23">
        <v>3000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25"/>
    </row>
    <row r="92" ht="15.35" customHeight="1">
      <c r="A92" t="s" s="95">
        <v>105</v>
      </c>
      <c r="B92" s="51"/>
      <c r="C92" s="22"/>
      <c r="D92" s="23">
        <v>5000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25"/>
    </row>
    <row r="93" ht="15.35" customHeight="1">
      <c r="A93" t="s" s="20">
        <v>106</v>
      </c>
      <c r="B93" s="51"/>
      <c r="C93" s="22"/>
      <c r="D93" s="23">
        <v>10000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25"/>
    </row>
    <row r="94" ht="15.35" customHeight="1">
      <c r="A94" t="s" s="20">
        <v>107</v>
      </c>
      <c r="B94" s="51"/>
      <c r="C94" s="22"/>
      <c r="D94" s="23">
        <v>2500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25"/>
    </row>
    <row r="95" ht="16.5" customHeight="1">
      <c r="A95" t="s" s="20">
        <v>108</v>
      </c>
      <c r="B95" s="51"/>
      <c r="C95" s="22"/>
      <c r="D95" s="27">
        <v>5000</v>
      </c>
      <c r="E95" s="39"/>
      <c r="F95" s="39"/>
      <c r="G95" s="39"/>
      <c r="H95" s="39"/>
      <c r="I95" s="39"/>
      <c r="J95" s="39"/>
      <c r="K95" s="39"/>
      <c r="L95" s="44"/>
      <c r="M95" s="44"/>
      <c r="N95" s="44"/>
      <c r="O95" s="39"/>
      <c r="P95" s="25"/>
    </row>
    <row r="96" ht="19.5" customHeight="1">
      <c r="A96" s="31"/>
      <c r="B96" s="32"/>
      <c r="C96" s="33"/>
      <c r="D96" s="34" cm="1">
        <f t="array" ref="D96">SUM(D90:D95)</f>
        <v>95500</v>
      </c>
      <c r="E96" s="35">
        <v>1</v>
      </c>
      <c r="F96" s="36">
        <v>2</v>
      </c>
      <c r="G96" s="36">
        <v>3</v>
      </c>
      <c r="H96" s="36">
        <v>4</v>
      </c>
      <c r="I96" s="36">
        <v>5</v>
      </c>
      <c r="J96" s="36">
        <v>6</v>
      </c>
      <c r="K96" s="36">
        <v>7</v>
      </c>
      <c r="L96" s="36">
        <v>8</v>
      </c>
      <c r="M96" s="36">
        <v>9</v>
      </c>
      <c r="N96" s="36">
        <v>10</v>
      </c>
      <c r="O96" t="s" s="37">
        <v>7</v>
      </c>
      <c r="P96" s="16"/>
    </row>
    <row r="97" ht="15.85" customHeight="1">
      <c r="A97" t="s" s="17">
        <v>109</v>
      </c>
      <c r="B97" t="s" s="18">
        <v>9</v>
      </c>
      <c r="C97" t="s" s="18">
        <v>10</v>
      </c>
      <c r="D97" t="s" s="38">
        <v>11</v>
      </c>
      <c r="E97" s="19">
        <v>44531</v>
      </c>
      <c r="F97" s="19">
        <v>44562</v>
      </c>
      <c r="G97" s="19">
        <v>44593</v>
      </c>
      <c r="H97" s="19">
        <v>44621</v>
      </c>
      <c r="I97" s="19">
        <v>44652</v>
      </c>
      <c r="J97" s="19">
        <v>44682</v>
      </c>
      <c r="K97" s="19">
        <v>44713</v>
      </c>
      <c r="L97" s="19">
        <v>44743</v>
      </c>
      <c r="M97" s="19">
        <v>44774</v>
      </c>
      <c r="N97" s="19">
        <v>44805</v>
      </c>
      <c r="O97" s="19">
        <v>44835</v>
      </c>
      <c r="P97" s="16"/>
    </row>
    <row r="98" ht="15.35" customHeight="1">
      <c r="A98" t="s" s="20">
        <v>36</v>
      </c>
      <c r="B98" s="21">
        <v>150</v>
      </c>
      <c r="C98" s="22">
        <v>100</v>
      </c>
      <c r="D98" s="23">
        <v>0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67"/>
      <c r="P98" s="25"/>
    </row>
    <row r="99" ht="15.35" customHeight="1">
      <c r="A99" t="s" s="20">
        <v>64</v>
      </c>
      <c r="B99" s="43">
        <v>250000</v>
      </c>
      <c r="C99" s="22"/>
      <c r="D99" s="23" cm="1">
        <f t="array" ref="D99">SUM(D89)</f>
        <v>0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67"/>
      <c r="P99" s="25"/>
    </row>
    <row r="100" ht="15.35" customHeight="1">
      <c r="A100" t="s" s="20">
        <v>110</v>
      </c>
      <c r="B100" s="21">
        <v>300</v>
      </c>
      <c r="C100" t="s" s="41">
        <v>111</v>
      </c>
      <c r="D100" s="23">
        <v>3600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67"/>
      <c r="P100" s="25"/>
    </row>
    <row r="101" ht="15.35" customHeight="1">
      <c r="A101" t="s" s="20">
        <v>112</v>
      </c>
      <c r="B101" s="51"/>
      <c r="C101" s="22"/>
      <c r="D101" s="23" cm="1">
        <f t="array" ref="D101">SUM(D91)</f>
        <v>3000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65">
        <v>10</v>
      </c>
      <c r="P101" s="25"/>
    </row>
    <row r="102" ht="16.5" customHeight="1">
      <c r="A102" t="s" s="20">
        <v>113</v>
      </c>
      <c r="B102" s="21">
        <v>2500</v>
      </c>
      <c r="C102" s="22"/>
      <c r="D102" s="27">
        <v>18750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65">
        <v>2500</v>
      </c>
      <c r="P102" s="25"/>
    </row>
    <row r="103" ht="19.5" customHeight="1">
      <c r="A103" s="31"/>
      <c r="B103" s="32"/>
      <c r="C103" s="33"/>
      <c r="D103" s="82" cm="1">
        <f t="array" ref="D103">SUM(D94)</f>
        <v>2500</v>
      </c>
      <c r="E103" s="35">
        <v>1</v>
      </c>
      <c r="F103" s="36">
        <v>2</v>
      </c>
      <c r="G103" s="36">
        <v>3</v>
      </c>
      <c r="H103" s="36">
        <v>4</v>
      </c>
      <c r="I103" s="36">
        <v>5</v>
      </c>
      <c r="J103" s="36">
        <v>6</v>
      </c>
      <c r="K103" s="36">
        <v>7</v>
      </c>
      <c r="L103" s="36">
        <v>8</v>
      </c>
      <c r="M103" s="36">
        <v>9</v>
      </c>
      <c r="N103" s="36">
        <v>10</v>
      </c>
      <c r="O103" t="s" s="37">
        <v>7</v>
      </c>
      <c r="P103" s="16"/>
    </row>
    <row r="104" ht="15.85" customHeight="1">
      <c r="A104" t="s" s="17">
        <v>114</v>
      </c>
      <c r="B104" t="s" s="18">
        <v>9</v>
      </c>
      <c r="C104" t="s" s="18">
        <v>10</v>
      </c>
      <c r="D104" t="s" s="38">
        <v>11</v>
      </c>
      <c r="E104" s="19">
        <v>44531</v>
      </c>
      <c r="F104" s="19">
        <v>44562</v>
      </c>
      <c r="G104" s="19">
        <v>44593</v>
      </c>
      <c r="H104" s="19">
        <v>44621</v>
      </c>
      <c r="I104" s="19">
        <v>44652</v>
      </c>
      <c r="J104" s="19">
        <v>44682</v>
      </c>
      <c r="K104" s="19">
        <v>44713</v>
      </c>
      <c r="L104" s="19">
        <v>44743</v>
      </c>
      <c r="M104" s="19">
        <v>44774</v>
      </c>
      <c r="N104" s="19">
        <v>44805</v>
      </c>
      <c r="O104" s="19">
        <v>44835</v>
      </c>
      <c r="P104" s="16"/>
    </row>
    <row r="105" ht="15.35" customHeight="1">
      <c r="A105" t="s" s="20">
        <v>115</v>
      </c>
      <c r="B105" s="39"/>
      <c r="C105" s="96"/>
      <c r="D105" s="23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25"/>
    </row>
    <row r="106" ht="15.35" customHeight="1">
      <c r="A106" t="s" s="20">
        <v>116</v>
      </c>
      <c r="B106" s="39"/>
      <c r="C106" s="96"/>
      <c r="D106" s="23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25"/>
    </row>
    <row r="107" ht="16.5" customHeight="1">
      <c r="A107" t="s" s="20">
        <v>117</v>
      </c>
      <c r="B107" s="39"/>
      <c r="C107" s="96"/>
      <c r="D107" s="27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25"/>
    </row>
    <row r="108" ht="19.5" customHeight="1">
      <c r="A108" s="31"/>
      <c r="B108" s="32"/>
      <c r="C108" s="33"/>
      <c r="D108" s="34">
        <v>30000</v>
      </c>
      <c r="E108" s="35">
        <v>1</v>
      </c>
      <c r="F108" s="36">
        <v>2</v>
      </c>
      <c r="G108" s="36">
        <v>3</v>
      </c>
      <c r="H108" s="36">
        <v>4</v>
      </c>
      <c r="I108" s="36">
        <v>5</v>
      </c>
      <c r="J108" s="36">
        <v>6</v>
      </c>
      <c r="K108" s="36">
        <v>7</v>
      </c>
      <c r="L108" s="36">
        <v>8</v>
      </c>
      <c r="M108" s="36">
        <v>9</v>
      </c>
      <c r="N108" s="36">
        <v>10</v>
      </c>
      <c r="O108" t="s" s="37">
        <v>7</v>
      </c>
      <c r="P108" s="16"/>
    </row>
    <row r="109" ht="15.85" customHeight="1">
      <c r="A109" t="s" s="17">
        <v>118</v>
      </c>
      <c r="B109" t="s" s="18">
        <v>9</v>
      </c>
      <c r="C109" t="s" s="18">
        <v>10</v>
      </c>
      <c r="D109" t="s" s="38">
        <v>11</v>
      </c>
      <c r="E109" s="19">
        <v>44531</v>
      </c>
      <c r="F109" s="19">
        <v>44562</v>
      </c>
      <c r="G109" s="19">
        <v>44593</v>
      </c>
      <c r="H109" s="19">
        <v>44621</v>
      </c>
      <c r="I109" s="19">
        <v>44652</v>
      </c>
      <c r="J109" s="19">
        <v>44682</v>
      </c>
      <c r="K109" s="19">
        <v>44713</v>
      </c>
      <c r="L109" s="19">
        <v>44743</v>
      </c>
      <c r="M109" s="19">
        <v>44774</v>
      </c>
      <c r="N109" s="19">
        <v>44805</v>
      </c>
      <c r="O109" s="19">
        <v>44835</v>
      </c>
      <c r="P109" s="16"/>
    </row>
    <row r="110" ht="15.35" customHeight="1">
      <c r="A110" t="s" s="20">
        <v>119</v>
      </c>
      <c r="B110" s="24">
        <v>1</v>
      </c>
      <c r="C110" s="96">
        <v>3000</v>
      </c>
      <c r="D110" s="23">
        <v>6000</v>
      </c>
      <c r="E110" s="39"/>
      <c r="F110" s="39"/>
      <c r="G110" s="39"/>
      <c r="H110" s="39"/>
      <c r="I110" s="39"/>
      <c r="J110" s="39"/>
      <c r="K110" s="39"/>
      <c r="L110" s="39"/>
      <c r="M110" s="40">
        <v>3000</v>
      </c>
      <c r="N110" s="40">
        <v>3000</v>
      </c>
      <c r="O110" s="39"/>
      <c r="P110" s="25"/>
    </row>
    <row r="111" ht="15.35" customHeight="1">
      <c r="A111" t="s" s="20">
        <v>120</v>
      </c>
      <c r="B111" s="24">
        <v>1</v>
      </c>
      <c r="C111" s="96">
        <v>3500</v>
      </c>
      <c r="D111" s="23">
        <v>21000</v>
      </c>
      <c r="E111" s="39"/>
      <c r="F111" s="39"/>
      <c r="G111" s="39"/>
      <c r="H111" s="39"/>
      <c r="I111" s="40">
        <v>3500</v>
      </c>
      <c r="J111" s="40">
        <v>3500</v>
      </c>
      <c r="K111" s="40">
        <v>3500</v>
      </c>
      <c r="L111" s="40">
        <v>3500</v>
      </c>
      <c r="M111" s="40">
        <v>3500</v>
      </c>
      <c r="N111" s="40">
        <v>3500</v>
      </c>
      <c r="O111" s="39"/>
      <c r="P111" s="25"/>
    </row>
    <row r="112" ht="15.35" customHeight="1">
      <c r="A112" t="s" s="20">
        <v>121</v>
      </c>
      <c r="B112" s="24"/>
      <c r="C112" s="96"/>
      <c r="D112" s="23"/>
      <c r="E112" s="39"/>
      <c r="F112" s="39"/>
      <c r="G112" s="39"/>
      <c r="H112" s="39"/>
      <c r="I112" s="44"/>
      <c r="J112" s="44"/>
      <c r="K112" s="44"/>
      <c r="L112" s="44"/>
      <c r="M112" s="44"/>
      <c r="N112" s="44"/>
      <c r="O112" s="39"/>
      <c r="P112" s="25"/>
    </row>
    <row r="113" ht="18.75" customHeight="1">
      <c r="A113" s="97"/>
      <c r="B113" s="39"/>
      <c r="C113" s="96"/>
      <c r="D113" s="98" cm="1">
        <f t="array" ref="D113">SUM(D110:D112)</f>
        <v>27000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99"/>
      <c r="O113" t="s" s="37">
        <v>7</v>
      </c>
      <c r="P113" s="16"/>
    </row>
    <row r="114" ht="15.35" customHeight="1">
      <c r="A114" t="s" s="100">
        <v>122</v>
      </c>
      <c r="B114" t="s" s="101">
        <v>9</v>
      </c>
      <c r="C114" t="s" s="101">
        <v>10</v>
      </c>
      <c r="D114" t="s" s="101">
        <v>11</v>
      </c>
      <c r="E114" s="102">
        <v>44531</v>
      </c>
      <c r="F114" s="102">
        <v>44562</v>
      </c>
      <c r="G114" s="102">
        <v>44593</v>
      </c>
      <c r="H114" s="102">
        <v>44621</v>
      </c>
      <c r="I114" s="102">
        <v>44652</v>
      </c>
      <c r="J114" s="102">
        <v>44682</v>
      </c>
      <c r="K114" s="102">
        <v>44713</v>
      </c>
      <c r="L114" s="102">
        <v>44743</v>
      </c>
      <c r="M114" s="102">
        <v>44774</v>
      </c>
      <c r="N114" s="102">
        <v>44805</v>
      </c>
      <c r="O114" s="19">
        <v>44835</v>
      </c>
      <c r="P114" s="16"/>
    </row>
    <row r="115" ht="15.35" customHeight="1">
      <c r="A115" t="s" s="20">
        <v>123</v>
      </c>
      <c r="B115" s="83">
        <v>3</v>
      </c>
      <c r="C115" s="96">
        <v>15000</v>
      </c>
      <c r="D115" s="23">
        <v>45000</v>
      </c>
      <c r="E115" s="39"/>
      <c r="F115" s="39"/>
      <c r="G115" s="39"/>
      <c r="H115" s="44"/>
      <c r="I115" s="39"/>
      <c r="J115" s="39"/>
      <c r="K115" s="44"/>
      <c r="L115" s="39"/>
      <c r="M115" s="39"/>
      <c r="N115" s="44"/>
      <c r="O115" s="39"/>
      <c r="P115" s="25"/>
    </row>
    <row r="116" ht="16.5" customHeight="1">
      <c r="A116" t="s" s="20">
        <v>124</v>
      </c>
      <c r="B116" s="83">
        <v>2</v>
      </c>
      <c r="C116" s="96">
        <v>25000</v>
      </c>
      <c r="D116" s="27">
        <v>50000</v>
      </c>
      <c r="E116" s="39"/>
      <c r="F116" s="44"/>
      <c r="G116" s="39"/>
      <c r="H116" s="39"/>
      <c r="I116" s="39"/>
      <c r="J116" s="39"/>
      <c r="K116" s="39"/>
      <c r="L116" s="44"/>
      <c r="M116" s="39"/>
      <c r="N116" s="39"/>
      <c r="O116" s="39"/>
      <c r="P116" s="25"/>
    </row>
    <row r="117" ht="16.5" customHeight="1">
      <c r="A117" s="97"/>
      <c r="B117" s="39"/>
      <c r="C117" s="103"/>
      <c r="D117" s="104" cm="1">
        <f t="array" ref="D117">SUM(D115:D116)</f>
        <v>95000</v>
      </c>
      <c r="E117" s="105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25"/>
    </row>
    <row r="118" ht="15.85" customHeight="1">
      <c r="A118" s="31"/>
      <c r="B118" s="32"/>
      <c r="C118" s="32"/>
      <c r="D118" s="106"/>
      <c r="E118" s="32"/>
      <c r="F118" s="32"/>
      <c r="G118" s="32"/>
      <c r="H118" s="32"/>
      <c r="I118" s="32"/>
      <c r="J118" s="32"/>
      <c r="K118" s="32"/>
      <c r="L118" s="32"/>
      <c r="M118" s="32"/>
      <c r="N118" s="107"/>
      <c r="O118" t="s" s="37">
        <v>7</v>
      </c>
      <c r="P118" s="16"/>
    </row>
    <row r="119" ht="15.35" customHeight="1">
      <c r="A119" t="s" s="17">
        <v>109</v>
      </c>
      <c r="B119" t="s" s="18">
        <v>9</v>
      </c>
      <c r="C119" t="s" s="18">
        <v>10</v>
      </c>
      <c r="D119" t="s" s="18">
        <v>11</v>
      </c>
      <c r="E119" s="19">
        <v>44531</v>
      </c>
      <c r="F119" s="19">
        <v>44562</v>
      </c>
      <c r="G119" s="19">
        <v>44593</v>
      </c>
      <c r="H119" s="19">
        <v>44621</v>
      </c>
      <c r="I119" s="19">
        <v>44652</v>
      </c>
      <c r="J119" s="19">
        <v>44682</v>
      </c>
      <c r="K119" s="19">
        <v>44713</v>
      </c>
      <c r="L119" s="19">
        <v>44743</v>
      </c>
      <c r="M119" s="19">
        <v>44774</v>
      </c>
      <c r="N119" s="19">
        <v>44805</v>
      </c>
      <c r="O119" s="19">
        <v>44835</v>
      </c>
      <c r="P119" s="16"/>
    </row>
    <row r="120" ht="15.35" customHeight="1">
      <c r="A120" t="s" s="20">
        <v>125</v>
      </c>
      <c r="B120" s="39"/>
      <c r="C120" s="96"/>
      <c r="D120" s="23">
        <v>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44"/>
      <c r="P120" s="25"/>
    </row>
    <row r="121" ht="15.35" customHeight="1">
      <c r="A121" t="s" s="20">
        <v>126</v>
      </c>
      <c r="B121" s="39"/>
      <c r="C121" s="96"/>
      <c r="D121" s="23" cm="1">
        <f t="array" ref="D121">SUM(D118)</f>
        <v>0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44"/>
      <c r="P121" s="25"/>
    </row>
    <row r="122" ht="16.5" customHeight="1">
      <c r="A122" t="s" s="20">
        <v>127</v>
      </c>
      <c r="B122" s="39"/>
      <c r="C122" s="96"/>
      <c r="D122" s="27" cm="1">
        <f t="array" ref="D122">SUM(D119)</f>
        <v>0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44"/>
      <c r="P122" s="25"/>
    </row>
    <row r="123" ht="19.5" customHeight="1">
      <c r="A123" s="108"/>
      <c r="B123" s="109"/>
      <c r="C123" s="110"/>
      <c r="D123" s="111" cm="1">
        <f t="array" ref="D123">SUM(D120)</f>
        <v>0</v>
      </c>
      <c r="E123" s="112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"/>
    </row>
    <row r="124" ht="16.5" customHeight="1">
      <c r="A124" s="10"/>
      <c r="B124" s="113"/>
      <c r="C124" s="113"/>
      <c r="D124" s="114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0"/>
    </row>
    <row r="125" ht="21.75" customHeight="1">
      <c r="A125" s="116"/>
      <c r="B125" t="s" s="117">
        <v>128</v>
      </c>
      <c r="C125" s="118"/>
      <c r="D125" s="119" cm="1">
        <f t="array" ref="D125">D123+D117+D108+D103+D96+D88+D83+D72+D51+D40+D21+D15+D7</f>
        <v>1505075</v>
      </c>
      <c r="E125" s="120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0"/>
    </row>
  </sheetData>
  <mergeCells count="2">
    <mergeCell ref="A1:N1"/>
    <mergeCell ref="B125:C125"/>
  </mergeCells>
  <pageMargins left="0.511811" right="0.511811" top="0.787402" bottom="0.787402" header="0.314961" footer="0.314961"/>
  <pageSetup firstPageNumber="1" fitToHeight="1" fitToWidth="1" scale="41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4" customWidth="1"/>
    <col min="6" max="16384" width="8.85156" style="124" customWidth="1"/>
  </cols>
  <sheetData>
    <row r="1" ht="13.55" customHeight="1">
      <c r="A1" s="125"/>
      <c r="B1" s="125"/>
      <c r="C1" s="125"/>
      <c r="D1" s="125"/>
      <c r="E1" s="125"/>
    </row>
    <row r="2" ht="13.55" customHeight="1">
      <c r="A2" s="125"/>
      <c r="B2" s="125"/>
      <c r="C2" s="125"/>
      <c r="D2" s="125"/>
      <c r="E2" s="125"/>
    </row>
    <row r="3" ht="13.55" customHeight="1">
      <c r="A3" s="125"/>
      <c r="B3" s="125"/>
      <c r="C3" s="125"/>
      <c r="D3" s="125"/>
      <c r="E3" s="125"/>
    </row>
    <row r="4" ht="13.55" customHeight="1">
      <c r="A4" s="125"/>
      <c r="B4" s="125"/>
      <c r="C4" s="125"/>
      <c r="D4" s="125"/>
      <c r="E4" s="125"/>
    </row>
    <row r="5" ht="13.55" customHeight="1">
      <c r="A5" s="125"/>
      <c r="B5" s="125"/>
      <c r="C5" s="125"/>
      <c r="D5" s="125"/>
      <c r="E5" s="125"/>
    </row>
    <row r="6" ht="13.55" customHeight="1">
      <c r="A6" s="125"/>
      <c r="B6" s="125"/>
      <c r="C6" s="125"/>
      <c r="D6" s="125"/>
      <c r="E6" s="125"/>
    </row>
    <row r="7" ht="13.55" customHeight="1">
      <c r="A7" s="125"/>
      <c r="B7" s="125"/>
      <c r="C7" s="125"/>
      <c r="D7" s="125"/>
      <c r="E7" s="125"/>
    </row>
    <row r="8" ht="13.55" customHeight="1">
      <c r="A8" s="125"/>
      <c r="B8" s="125"/>
      <c r="C8" s="125"/>
      <c r="D8" s="125"/>
      <c r="E8" s="125"/>
    </row>
    <row r="9" ht="13.55" customHeight="1">
      <c r="A9" s="125"/>
      <c r="B9" s="125"/>
      <c r="C9" s="125"/>
      <c r="D9" s="125"/>
      <c r="E9" s="125"/>
    </row>
    <row r="10" ht="13.55" customHeight="1">
      <c r="A10" s="125"/>
      <c r="B10" s="125"/>
      <c r="C10" s="125"/>
      <c r="D10" s="125"/>
      <c r="E10" s="12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6" customWidth="1"/>
    <col min="6" max="16384" width="8.85156" style="126" customWidth="1"/>
  </cols>
  <sheetData>
    <row r="1" ht="13.55" customHeight="1">
      <c r="A1" s="125"/>
      <c r="B1" s="125"/>
      <c r="C1" s="125"/>
      <c r="D1" s="125"/>
      <c r="E1" s="125"/>
    </row>
    <row r="2" ht="13.55" customHeight="1">
      <c r="A2" s="125"/>
      <c r="B2" s="125"/>
      <c r="C2" s="125"/>
      <c r="D2" s="125"/>
      <c r="E2" s="125"/>
    </row>
    <row r="3" ht="13.55" customHeight="1">
      <c r="A3" s="125"/>
      <c r="B3" s="125"/>
      <c r="C3" s="125"/>
      <c r="D3" s="125"/>
      <c r="E3" s="125"/>
    </row>
    <row r="4" ht="13.55" customHeight="1">
      <c r="A4" s="125"/>
      <c r="B4" s="125"/>
      <c r="C4" s="125"/>
      <c r="D4" s="125"/>
      <c r="E4" s="125"/>
    </row>
    <row r="5" ht="13.55" customHeight="1">
      <c r="A5" s="125"/>
      <c r="B5" s="125"/>
      <c r="C5" s="125"/>
      <c r="D5" s="125"/>
      <c r="E5" s="125"/>
    </row>
    <row r="6" ht="13.55" customHeight="1">
      <c r="A6" s="125"/>
      <c r="B6" s="125"/>
      <c r="C6" s="125"/>
      <c r="D6" s="125"/>
      <c r="E6" s="125"/>
    </row>
    <row r="7" ht="13.55" customHeight="1">
      <c r="A7" s="125"/>
      <c r="B7" s="125"/>
      <c r="C7" s="125"/>
      <c r="D7" s="125"/>
      <c r="E7" s="125"/>
    </row>
    <row r="8" ht="13.55" customHeight="1">
      <c r="A8" s="125"/>
      <c r="B8" s="125"/>
      <c r="C8" s="125"/>
      <c r="D8" s="125"/>
      <c r="E8" s="125"/>
    </row>
    <row r="9" ht="13.55" customHeight="1">
      <c r="A9" s="125"/>
      <c r="B9" s="125"/>
      <c r="C9" s="125"/>
      <c r="D9" s="125"/>
      <c r="E9" s="125"/>
    </row>
    <row r="10" ht="13.55" customHeight="1">
      <c r="A10" s="125"/>
      <c r="B10" s="125"/>
      <c r="C10" s="125"/>
      <c r="D10" s="125"/>
      <c r="E10" s="12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